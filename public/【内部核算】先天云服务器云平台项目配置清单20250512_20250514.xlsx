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80" activeTab="1"/>
  </bookViews>
  <sheets>
    <sheet name="封面" sheetId="1" r:id="rId1"/>
    <sheet name="体积重量功耗信息" sheetId="5" r:id="rId2"/>
  </sheets>
  <definedNames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>Generated by NHCT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F4" authorId="0">
      <text>
        <r>
          <rPr>
            <b/>
            <sz val="11"/>
            <rFont val="微软雅黑"/>
            <charset val="134"/>
          </rPr>
          <t>1）CTO发货模块参与主机装配，不参与体积计算；
2）BTO 体积会根据求和体积/比例系数（不同体积范围比例系数不同）用于预估二次包装体积</t>
        </r>
      </text>
    </comment>
    <comment ref="G4" authorId="0">
      <text>
        <r>
          <rPr>
            <b/>
            <sz val="11"/>
            <rFont val="微软雅黑"/>
            <charset val="134"/>
          </rPr>
          <t>CT：在高温、满负载情况下的功耗 
IT：指环境温度在25℃时，服务器个部件处于满负载压力状态下，风扇自动调速，服务器所消耗的功率（直流电源功率）。 
应产品线要求，CTO整机配置的功耗明细不导出，仅体现整机功耗（如无“功耗查询工具”，显示为“0”）</t>
        </r>
      </text>
    </comment>
    <comment ref="H4" authorId="0">
      <text>
        <r>
          <rPr>
            <b/>
            <sz val="11"/>
            <rFont val="微软雅黑"/>
            <charset val="134"/>
          </rPr>
          <t>无负载情况下的功耗</t>
        </r>
      </text>
    </comment>
    <comment ref="I4" authorId="0">
      <text>
        <r>
          <rPr>
            <b/>
            <sz val="11"/>
            <rFont val="微软雅黑"/>
            <charset val="134"/>
          </rPr>
          <t>常温25度，50%负载情况下的功耗（不同类型产品具体测试方法不同）</t>
        </r>
      </text>
    </comment>
    <comment ref="J4" authorId="0">
      <text>
        <r>
          <rPr>
            <b/>
            <sz val="11"/>
            <rFont val="微软雅黑"/>
            <charset val="134"/>
          </rPr>
          <t>产品发货时的重量，带包材等辅助运输/安装物料的重量，用于物流评估</t>
        </r>
      </text>
    </comment>
    <comment ref="K4" authorId="0">
      <text>
        <r>
          <rPr>
            <b/>
            <sz val="11"/>
            <rFont val="微软雅黑"/>
            <charset val="134"/>
          </rPr>
          <t>产品在使用状态下的重量，不带包材等辅助运输/安装物料的重量，用于机房承重评估</t>
        </r>
      </text>
    </comment>
    <comment ref="L4" authorId="0">
      <text>
        <r>
          <rPr>
            <b/>
            <sz val="11"/>
            <rFont val="微软雅黑"/>
            <charset val="134"/>
          </rPr>
          <t>裸机（不含：装饰架、拉手条等）的净尺寸，用于对外宣传，详见iConfig配置“SWaP统计”页签</t>
        </r>
      </text>
    </comment>
    <comment ref="M4" authorId="0">
      <text>
        <r>
          <rPr>
            <b/>
            <sz val="11"/>
            <rFont val="微软雅黑"/>
            <charset val="134"/>
          </rPr>
          <t>整机（含装饰架、拉手条等）的净尺寸，用于指导设备上柜安装，详见iConfig配置“SWaP统计”页签</t>
        </r>
      </text>
    </comment>
  </commentList>
</comments>
</file>

<file path=xl/sharedStrings.xml><?xml version="1.0" encoding="utf-8"?>
<sst xmlns="http://schemas.openxmlformats.org/spreadsheetml/2006/main" count="3211" uniqueCount="1156">
  <si>
    <t>XX设备订单</t>
  </si>
  <si>
    <t>项目经理：</t>
  </si>
  <si>
    <t>张三</t>
  </si>
  <si>
    <t>联系方式：</t>
  </si>
  <si>
    <t>18768166767</t>
  </si>
  <si>
    <t>产品经理：</t>
  </si>
  <si>
    <t>李四</t>
  </si>
  <si>
    <t>18768177777</t>
  </si>
  <si>
    <t>新华三技术有限公司</t>
  </si>
  <si>
    <t>日期：</t>
  </si>
  <si>
    <t>客服电话：800-810-0504  400-810-0504</t>
  </si>
  <si>
    <t/>
  </si>
  <si>
    <t>体积重量功耗信息</t>
  </si>
  <si>
    <t>序号</t>
  </si>
  <si>
    <t>产品编码</t>
  </si>
  <si>
    <t>产品代码</t>
  </si>
  <si>
    <t>描述</t>
  </si>
  <si>
    <t>数量</t>
  </si>
  <si>
    <t>包装体积
(M^3)</t>
  </si>
  <si>
    <t>最大功耗
(W)</t>
  </si>
  <si>
    <t>最小功耗
(W)</t>
  </si>
  <si>
    <t>典型功耗
(W)</t>
  </si>
  <si>
    <t>毛重
(KG)</t>
  </si>
  <si>
    <t>净重
(KG)</t>
  </si>
  <si>
    <t>本体尺寸
(mm)</t>
  </si>
  <si>
    <t>总体尺寸
(mm)</t>
  </si>
  <si>
    <t>包装尺寸
(mm)</t>
  </si>
  <si>
    <t>1</t>
  </si>
  <si>
    <t>计算资源组--&gt;X86资源池宿主机</t>
  </si>
  <si>
    <t>1_1</t>
  </si>
  <si>
    <t>UIS3000G6 #1</t>
  </si>
  <si>
    <t>0235A4T1</t>
  </si>
  <si>
    <t>UIS-3000-G6-SFF-C</t>
  </si>
  <si>
    <t>H3C UIS 3000 G6 SFF CTO超融合一体机</t>
  </si>
  <si>
    <t>87.5mm*445.4mm*780mm</t>
  </si>
  <si>
    <t>87.5mm*482.6mm*808mm</t>
  </si>
  <si>
    <t>1012*624*266</t>
  </si>
  <si>
    <t>0231AMLE</t>
  </si>
  <si>
    <t>UN-CPU-INTEL-8558</t>
  </si>
  <si>
    <t>8558(2.1GHz/48核/260MB/330W)CPU模块(CTO&amp;BTO)</t>
  </si>
  <si>
    <t>N/A</t>
  </si>
  <si>
    <t>395*250*86</t>
  </si>
  <si>
    <t>0231AMLY</t>
  </si>
  <si>
    <t>UN-DDR5-5600B-64G-2Rx4-R</t>
  </si>
  <si>
    <t>64GB 2Rx4 DDR5-5600B(CAS-46-45-45)RDIMM内存模块(CTO&amp;BTO)</t>
  </si>
  <si>
    <t>172*60*18</t>
  </si>
  <si>
    <t>0231AK76</t>
  </si>
  <si>
    <t>UN-DUMMY-DIMM-DDR5-M</t>
  </si>
  <si>
    <t>DDR5假内存模块(CMCTO)</t>
  </si>
  <si>
    <t>0231AJPU</t>
  </si>
  <si>
    <t>UN-PCA-BP-8SFF-2U-G6</t>
  </si>
  <si>
    <t>G6 2U前置8SFF硬盘背板模块(CTO&amp;BTO)</t>
  </si>
  <si>
    <t>354*244*154</t>
  </si>
  <si>
    <t>0231ALYT</t>
  </si>
  <si>
    <t>UN-SSD-480G-SATA-RI-UCS-M</t>
  </si>
  <si>
    <t>480GB 6G SATA 2.5in RI SSD UCS通用硬盘模块(CMCTO)</t>
  </si>
  <si>
    <t>0231AJQ9</t>
  </si>
  <si>
    <t>UN-RC-3FHHL-2U-G6</t>
  </si>
  <si>
    <t>G6 2U Riser1/Riser2 X16X8X8 Riser(支持3张75W GPU)(CTO&amp;BTO)</t>
  </si>
  <si>
    <t>0231A8ND</t>
  </si>
  <si>
    <t>UN-HBA-H460-B1-F</t>
  </si>
  <si>
    <t>H460-B1 12G SAS HBA卡模块(支持8个SAS Port,PCIe)(CMCTO)</t>
  </si>
  <si>
    <t>0231A7NH</t>
  </si>
  <si>
    <t>UN-NIC-620F-B2-25Gb-2P-1</t>
  </si>
  <si>
    <t>2端口25Gb光接口网卡(SFP28)-620F-B2</t>
  </si>
  <si>
    <t>0231ANSH</t>
  </si>
  <si>
    <t>UN-NIC-ETH-SF400T-C201-3S-4P</t>
  </si>
  <si>
    <t>4端口1GE电接口OCP3.0网卡SF400T-C201(CTO&amp;BTO)</t>
  </si>
  <si>
    <t>325*210*106</t>
  </si>
  <si>
    <t>0231A7N6</t>
  </si>
  <si>
    <t>SFP-25G-SR-MM850-1</t>
  </si>
  <si>
    <t>25G SFP28光模块(850nm,100m,SR,MM,LC)</t>
  </si>
  <si>
    <t>138*56*25</t>
  </si>
  <si>
    <t>0231ALYS</t>
  </si>
  <si>
    <t>UN-CRPS-1300W-AC-12V-94%-M2</t>
  </si>
  <si>
    <t>1300W交流&amp;240V高压直流电源(白金-轻载高效)(CMCTO)</t>
  </si>
  <si>
    <t>0404A0K4</t>
  </si>
  <si>
    <t>CAB-PDU-2.0m-C14-C13-MUL-50598</t>
  </si>
  <si>
    <t>PDU电源线-2.0m-1.0mm^2-黑-(C14连接器(3P)直公250V10A)-(227 IEC 53(RVV)&amp;H05VV-F&amp;SJT)-(C13)-国标+美标+欧标+韩标</t>
  </si>
  <si>
    <t>0404A06Q</t>
  </si>
  <si>
    <t>CAB-AC Pwr CHI-1.8m</t>
  </si>
  <si>
    <t>墙插交流电源线-1.8m-0.75mm^2-黑-(GB1002插头(3P)直公250V10A)-(227 IEC 53(RVV))-(C13连接器(3P)直母250V10A)-国标</t>
  </si>
  <si>
    <t>0231AJPX</t>
  </si>
  <si>
    <t>UN-FAN-8038-2U-G6</t>
  </si>
  <si>
    <t>G6 2U 8038风扇模块(CTO&amp;BTO)</t>
  </si>
  <si>
    <t>245*230*121</t>
  </si>
  <si>
    <t>0231AK7H</t>
  </si>
  <si>
    <t>UN-ME-HeatSink-2UbY-M</t>
  </si>
  <si>
    <t>2U T型热管散热器模块(CMCTO)</t>
  </si>
  <si>
    <t>0231AEDS</t>
  </si>
  <si>
    <t>UIS-MAG-STD</t>
  </si>
  <si>
    <t>H3C UIS一体机预装模块(FIO)</t>
  </si>
  <si>
    <t>0231AJQD</t>
  </si>
  <si>
    <t>UN-PCA-BMC-G6</t>
  </si>
  <si>
    <t>G6 BMC管理板模块(CTO&amp;BTO)</t>
  </si>
  <si>
    <t>0231AJQ5</t>
  </si>
  <si>
    <t>UN-IFIST-EX-G6</t>
  </si>
  <si>
    <t>G6 iFIST模块(CTO&amp;BTO)</t>
  </si>
  <si>
    <t>0231AFT2</t>
  </si>
  <si>
    <t>UN-RL-B-G5</t>
  </si>
  <si>
    <t>G5 2U/1U标准滑轨(CTO&amp;BTO)</t>
  </si>
  <si>
    <t>990*200*170</t>
  </si>
  <si>
    <t>0404A1WV</t>
  </si>
  <si>
    <t>CAB-AUX-0.3m-10609</t>
  </si>
  <si>
    <t>AUX信号线-0.3m-(HMB(6*1)1.25)-(UL2835)-(HMB(6*1)1.25)</t>
  </si>
  <si>
    <t>0404A1WW</t>
  </si>
  <si>
    <t>CAB-DC-0.35m-50897</t>
  </si>
  <si>
    <t>内部直流电源线-0.35m-(HMB(3*2)3.0)-(UL1061)-(HMB(3*2)3.0)</t>
  </si>
  <si>
    <t>0404A1QH</t>
  </si>
  <si>
    <t>CAB-PCIe-0.25m-00723</t>
  </si>
  <si>
    <t>PCIe电缆-0.25m-(MCIO 74P直)-(PCIe 5.0+UL1354+SAS 4.0)-(MCIO 74P直)</t>
  </si>
  <si>
    <t>0404A1RQ</t>
  </si>
  <si>
    <t>CAB-SAS-0.9m-00607</t>
  </si>
  <si>
    <t>SAS电缆-0.9m-(MiniSAS 68P直)-(SAS 3.0+UL1354)-(SlimSAS 74P直)</t>
  </si>
  <si>
    <t>0404A1T2</t>
  </si>
  <si>
    <t>CAB-NCSI-0.35m-10519</t>
  </si>
  <si>
    <t>NCSI电缆-0.35m-(MCIO 38P直)-(UL1061+UL1571)-(HMR(12*2)2.0)</t>
  </si>
  <si>
    <t>8814A0CP</t>
  </si>
  <si>
    <t>SV-PS-UN</t>
  </si>
  <si>
    <t>H3C服务器首次基础安装服务</t>
  </si>
  <si>
    <t>单台</t>
  </si>
  <si>
    <t>0.00</t>
  </si>
  <si>
    <t>小计</t>
  </si>
  <si>
    <t>配置组小计</t>
  </si>
  <si>
    <t>2</t>
  </si>
  <si>
    <t>计算资源组--&gt;ARM资源池宿主机</t>
  </si>
  <si>
    <t>2_1</t>
  </si>
  <si>
    <t>R4960G3 #1</t>
  </si>
  <si>
    <t>0235A4M4</t>
  </si>
  <si>
    <t>UN-R4960-G3-12LFF-5251K-AD-C</t>
  </si>
  <si>
    <t>H3C UniServer R4960 G3 12LFF EXP鲲鹏920(双路 48核 5251K)CTO服务器(AD)(1*4GE HWLOM卡)</t>
  </si>
  <si>
    <t>1090*648*310</t>
  </si>
  <si>
    <t>0231AF6K</t>
  </si>
  <si>
    <t>UN-DDR4-3200AA-64G-2Rx4-R</t>
  </si>
  <si>
    <t>64GB 2Rx4 DDR4-3200 CAS-22-22-22 RDIMM内存模块(CTO&amp;BTO)</t>
  </si>
  <si>
    <t>0231AKLW</t>
  </si>
  <si>
    <t>UN-SSD-480G-SATA-PM893-SCL-BL</t>
  </si>
  <si>
    <t>480GB 6G SATA 3.5inch RI PM893 SSD鲲鹏专用硬盘模块(黑色)(CTO&amp;BTO)</t>
  </si>
  <si>
    <t>320*248*121</t>
  </si>
  <si>
    <t>0231AMJR</t>
  </si>
  <si>
    <t>UN-RC-3FHHL-KP1.0</t>
  </si>
  <si>
    <t>鲲鹏一期专用FHHL转接卡(槽位1/2)(支持3个X8 FHHL)(CTO&amp;BTO)</t>
  </si>
  <si>
    <t>411*256*132</t>
  </si>
  <si>
    <t>0231AG4Y</t>
  </si>
  <si>
    <t>UN-HBA-LSI-9440-8i-KP</t>
  </si>
  <si>
    <t>HBA LSI9440-8i 12Gb 2端口SAS HBA卡-鲲鹏专用(支持8个SAS口)(CTO&amp;BTO)</t>
  </si>
  <si>
    <t>285*205*66</t>
  </si>
  <si>
    <t>0231AKBL</t>
  </si>
  <si>
    <t>UN-NIC-620F-B2-25Gb-2P-2</t>
  </si>
  <si>
    <t>2端口25Gb光接口网卡(SFP28) 620F-B2 (CTO&amp;BTO)</t>
  </si>
  <si>
    <t>9806A04Y</t>
  </si>
  <si>
    <t>UN-NIC-ETH-HWLOM-4P*GE</t>
  </si>
  <si>
    <t>鲲鹏专用 4端口千兆电接口HWLOM网卡(TM210)(HW)</t>
  </si>
  <si>
    <t>9806A04B</t>
  </si>
  <si>
    <t>UN-SFP-25G-SR-MM850-HW</t>
  </si>
  <si>
    <t>鲲鹏专用25G SFP28光模块(850nm,100m,SR,MM,LC)(HW)</t>
  </si>
  <si>
    <t>0231AKJ8</t>
  </si>
  <si>
    <t>UN-PAC900S12-B2-KP</t>
  </si>
  <si>
    <t>鲲鹏900W交流&amp;240V高压直流电源模块(PAC900S12-B2)(白金)(CTO&amp;BTO)</t>
  </si>
  <si>
    <t>2150A0HG</t>
  </si>
  <si>
    <t>UN-RL-2U-KP-I</t>
  </si>
  <si>
    <t>21240434-2U静态滑轨套件-华为专用</t>
  </si>
  <si>
    <t>9804A01G</t>
  </si>
  <si>
    <t>CAB-MiniSAS-0.9m-No-EXP-HW</t>
  </si>
  <si>
    <t>高速电缆-MiniSAS HD-0.9m-(Mini SAS HD R/A)-(Mini SAS HD STR)-12LFF直通</t>
  </si>
  <si>
    <t>3</t>
  </si>
  <si>
    <t>计算资源组--&gt;GPU云虚机I-5块L20 48GB</t>
  </si>
  <si>
    <t>3_1</t>
  </si>
  <si>
    <t>R5300G6 #1</t>
  </si>
  <si>
    <t>0235A4GP</t>
  </si>
  <si>
    <t>UN-R5300-G6-C</t>
  </si>
  <si>
    <t>H3C UniServer R5300 G6 PCIe CTO服务器</t>
  </si>
  <si>
    <t>174.8mm*447.0mm*828mm</t>
  </si>
  <si>
    <t>174.8mm*482.6mm*856mm</t>
  </si>
  <si>
    <t>1150*685*608</t>
  </si>
  <si>
    <t>0231AK0D</t>
  </si>
  <si>
    <t>UN-BP-12LFF-R5300-G6</t>
  </si>
  <si>
    <t>H3C UniServer R5300 G6 12LFF硬盘扩展模块(CMCTO)</t>
  </si>
  <si>
    <t>0231ANQ6</t>
  </si>
  <si>
    <t>UN-8GPU-SW-B-R5300-G6</t>
  </si>
  <si>
    <t>H3C UniServer R5300 G6 8GPU Switch计算模块(CTO&amp;BTO)</t>
  </si>
  <si>
    <t>580*400*120</t>
  </si>
  <si>
    <t>0231AHCQ</t>
  </si>
  <si>
    <t>UN-SSD-480G-SATA-S4520-M.2</t>
  </si>
  <si>
    <t>480GB SATA RI S4520 M.2 SSD硬盘模块(CTO&amp;BTO)</t>
  </si>
  <si>
    <t>0231ANF4</t>
  </si>
  <si>
    <t>UN-GPU-48GB-DW</t>
  </si>
  <si>
    <t>NVIDIA 48G PCIe4.0 X16 FHFL GPU模块(CTO&amp;BTO)</t>
  </si>
  <si>
    <t>387*273*160</t>
  </si>
  <si>
    <t>0231AFSS</t>
  </si>
  <si>
    <t>UN-GW-CRPS2000D</t>
  </si>
  <si>
    <t>2000W交流&amp;240V高压直流电源模块(GW-R2-白金-轻载高效)(CTO&amp;BTO)</t>
  </si>
  <si>
    <t>0231AKEW</t>
  </si>
  <si>
    <t>UN-FAN-8056-4U-G6</t>
  </si>
  <si>
    <t>4U 8056风扇模块(CTO&amp;BTO)</t>
  </si>
  <si>
    <t>250*200*141</t>
  </si>
  <si>
    <t>0231AKEF</t>
  </si>
  <si>
    <t>UN-BB-4U-G6</t>
  </si>
  <si>
    <t>G6 4U滚珠滑轨(CTO&amp;BTO)</t>
  </si>
  <si>
    <t>1115*380*280</t>
  </si>
  <si>
    <t>2114A0FT</t>
  </si>
  <si>
    <t>ME-GPUBlank-R5300G6</t>
  </si>
  <si>
    <t>R5300 G6 GPU假面板</t>
  </si>
  <si>
    <t>0404A22B</t>
  </si>
  <si>
    <t>CAB-DC-0.43m-50879</t>
  </si>
  <si>
    <t>内部直流电源线-0.43m-(HMB(4*2)3.0)-(UL1061)-(HMB(4*2)3.0)</t>
  </si>
  <si>
    <t>0404A24U</t>
  </si>
  <si>
    <t>CAB-SATA-0.73m-00868</t>
  </si>
  <si>
    <t>SATA电缆-0.73m-(SlimSAS 74P右弯)-(SAS 3.0+UL1061)-(2*SlimSAS 38P直)</t>
  </si>
  <si>
    <t>0404A22S</t>
  </si>
  <si>
    <t>CAB-DC-0.09m-50885</t>
  </si>
  <si>
    <t>内部直流电源线-0.09m-(HMB(8*2)3.0)-(UL1061)-(HMB(8*2)3.0)</t>
  </si>
  <si>
    <t>0404A1X1</t>
  </si>
  <si>
    <t>CAB-PCIe-0.3m-00917</t>
  </si>
  <si>
    <t>PCIe电缆-0.3m-(MCIO 74P直)-(PCIe 5.0+UL1354+SAS 4.0)-(MCIO 74P直)</t>
  </si>
  <si>
    <t>0404A22D</t>
  </si>
  <si>
    <t>CAB-PCIe-0.29m-00882</t>
  </si>
  <si>
    <t>PCIe电缆-0.29m-(MCIO 74P直)-(PCIe 5.0+SAS 4.0+UL1354)-(MCIO 74P直)</t>
  </si>
  <si>
    <t>0404A226</t>
  </si>
  <si>
    <t>CAB-PCIe-0.2m-00883</t>
  </si>
  <si>
    <t>PCIe电缆-0.2m-(MCIO 74P直)-(PCIe 5.0+SAS 4.0+UL1354)-(MCIO 74P直)</t>
  </si>
  <si>
    <t>0404A227</t>
  </si>
  <si>
    <t>CAB-PCIe-0.16m-00931</t>
  </si>
  <si>
    <t>PCIe电缆-0.16m-(MCIO 74P直)-(PCIe 5.0+SAS 4.0+UL1354)-(MCIO 74P直)</t>
  </si>
  <si>
    <t>0404A21W</t>
  </si>
  <si>
    <t>CAB-PCIe-0.12m-00835</t>
  </si>
  <si>
    <t>PCIe电缆-0.12m-(MCIO 74P直)-(PCIe 5.0+SAS 4.0+UL1354)-(MCIO 74P下弯)</t>
  </si>
  <si>
    <t>0404A250</t>
  </si>
  <si>
    <t>CAB-PCIe-0.51m-00851</t>
  </si>
  <si>
    <t>PCIe电缆-0.51m-(MCIO 74P下弯)-(PCIe 5.0+UL1354+SAS 4.0)-(MCIO 74P左弯)</t>
  </si>
  <si>
    <t>0404A22Q</t>
  </si>
  <si>
    <t>CAB-PCIe-0.35m-00853</t>
  </si>
  <si>
    <t>PCIe电缆-0.35m-(MCIO 74P下弯)-(PCIe 5.0+SAS 4.0+UL1354)-(MCIO 74P右弯)</t>
  </si>
  <si>
    <t>0404A24H</t>
  </si>
  <si>
    <t>CAB-PCIe-0.38m-01092</t>
  </si>
  <si>
    <t>PCIe电缆-0.38m-(MCIO 74P直)-(PCIe 5.0+UL1354+SAS 4.0)-(2*MCIO 38P直)</t>
  </si>
  <si>
    <t>0404A223</t>
  </si>
  <si>
    <t>CAB-DC-0.25m-50953</t>
  </si>
  <si>
    <t>内部直流电源线-0.25m-(HMB(6*2)3.0/2.0)-(UL1061)-(HMB(6*2)3.0)</t>
  </si>
  <si>
    <t>3536.87</t>
  </si>
  <si>
    <t>767.49</t>
  </si>
  <si>
    <t>2152.18</t>
  </si>
  <si>
    <t>4</t>
  </si>
  <si>
    <t>计算资源组--&gt;GPU云虚机II-5块A10 24GB</t>
  </si>
  <si>
    <t>4_1</t>
  </si>
  <si>
    <t>0231AG9X</t>
  </si>
  <si>
    <t>UN-GPU-A10-24G</t>
  </si>
  <si>
    <t>NVIDIA Tesla A10 24G GPU模块(Non-CEC)(CTO&amp;BTO)</t>
  </si>
  <si>
    <t>0404A2CY</t>
  </si>
  <si>
    <t>CAB-DC-0.25m-51126</t>
  </si>
  <si>
    <t>内部直流电源线-0.25m-(HMB(6*2)3.0/2.0)-(UL1061)-(HMB(4*2)4.2)</t>
  </si>
  <si>
    <t>2536.87</t>
  </si>
  <si>
    <t>437.49</t>
  </si>
  <si>
    <t>1487.18</t>
  </si>
  <si>
    <t>5</t>
  </si>
  <si>
    <t>计算资源组--&gt;物理机-高配</t>
  </si>
  <si>
    <t>5_1</t>
  </si>
  <si>
    <t>R4900G6 #1</t>
  </si>
  <si>
    <t>0235A4HE</t>
  </si>
  <si>
    <t>UN-R4900-G6-SFF-C</t>
  </si>
  <si>
    <t>H3C UniServer R4900 G6 SFF CTO服务器</t>
  </si>
  <si>
    <t>0231AMMB</t>
  </si>
  <si>
    <t>UN-CPU-INTEL-6530</t>
  </si>
  <si>
    <t>6530(2.1GHz/32核/160MB/270W)CPU模块(CTO&amp;BTO)</t>
  </si>
  <si>
    <t>0231AM1U</t>
  </si>
  <si>
    <t>UN-DDR5-4800B-32G-1Rx4-R-2</t>
  </si>
  <si>
    <t>32GB 1Rx4 DDR5-4800B(CAS-40-39-39)SAMSUNG&amp;HYNIX RDIMM内存模块(CTO&amp;BTO)</t>
  </si>
  <si>
    <t>0231ARBJ</t>
  </si>
  <si>
    <t>UN-SSD-960G-SATA-RI-UCS-GC-M</t>
  </si>
  <si>
    <t>960GB 6Gb/s SATA 2.5in RI SSD UCS通用硬盘模块(GC)(CMCTO)</t>
  </si>
  <si>
    <t>0231AF6G</t>
  </si>
  <si>
    <t>UN-HDD-2.4T-SAS3-10K-UCS</t>
  </si>
  <si>
    <t>2.4TB 12G SAS 10K 2.5in 512e HDD UC通用硬盘模块(CTO&amp;BTO)</t>
  </si>
  <si>
    <t>265*248*121</t>
  </si>
  <si>
    <t>0231A8K2</t>
  </si>
  <si>
    <t>UN-CNA-10GE-2P-560F-B2-1</t>
  </si>
  <si>
    <t>2端口万兆光接口网卡(SFP+)-560F-B2</t>
  </si>
  <si>
    <t>0231A8KB</t>
  </si>
  <si>
    <t>UN-SFP-XG-SX-MM850-E1</t>
  </si>
  <si>
    <t>SFP+ 万兆模块(850nm,300m,LC)</t>
  </si>
  <si>
    <t>0231AK7U</t>
  </si>
  <si>
    <t>UN-ME-HeatSink-2Ub-M</t>
  </si>
  <si>
    <t>2U热管散热器模块(CMCTO)</t>
  </si>
  <si>
    <t>901.01</t>
  </si>
  <si>
    <t>316.89</t>
  </si>
  <si>
    <t>608.95</t>
  </si>
  <si>
    <t>6</t>
  </si>
  <si>
    <t>计算资源组--&gt;物理机-中配</t>
  </si>
  <si>
    <t>6_1</t>
  </si>
  <si>
    <t>821.91</t>
  </si>
  <si>
    <t>293.37</t>
  </si>
  <si>
    <t>557.64</t>
  </si>
  <si>
    <t>7</t>
  </si>
  <si>
    <t>计算资源组--&gt;物理机-低配</t>
  </si>
  <si>
    <t>7_1</t>
  </si>
  <si>
    <t>0231AMML</t>
  </si>
  <si>
    <t>UN-CPU-INTEL-4510</t>
  </si>
  <si>
    <t>4510(2.4GHz/12核/30MB/150W)CPU模块(CTO&amp;BTO)</t>
  </si>
  <si>
    <t>0231AMM0</t>
  </si>
  <si>
    <t>UN-DDR5-5600B-16G-1Rx8-R-2</t>
  </si>
  <si>
    <t>16GB 1Rx8 DDR5-5600B(CAS-46-45-45)SAMSUNG&amp;HYNIX RDIMM内存模块(CTO&amp;BTO)</t>
  </si>
  <si>
    <t>0231AK7T</t>
  </si>
  <si>
    <t>UN-ME-HeatSink-2Ua-M</t>
  </si>
  <si>
    <t>2U铝挤散热器模块(CMCTO)</t>
  </si>
  <si>
    <t>560.99</t>
  </si>
  <si>
    <t>213.05</t>
  </si>
  <si>
    <t>387.02</t>
  </si>
  <si>
    <t>8</t>
  </si>
  <si>
    <t>存储资源池--&gt;超高IO-X18000</t>
  </si>
  <si>
    <t>8_1</t>
  </si>
  <si>
    <t>SLX18000G6 #1</t>
  </si>
  <si>
    <t>0235A4KT</t>
  </si>
  <si>
    <t>ST-X18000-G6-C</t>
  </si>
  <si>
    <t>H3C UniStor X18000 G6存储机箱(CTO)</t>
  </si>
  <si>
    <t>86.4mm*447mm*890mm</t>
  </si>
  <si>
    <t>86.4mm*447mm*908mm</t>
  </si>
  <si>
    <t>1150*685*493</t>
  </si>
  <si>
    <t>0235A4KS</t>
  </si>
  <si>
    <t>ST-Polaris-S812-C</t>
  </si>
  <si>
    <t>H3C UniStor Polaris S812存储节点(支持1路CPU,支持11xE1.S或12xE1.S硬盘)(CTO)</t>
  </si>
  <si>
    <t>41.0mm*219.5mm*580mm</t>
  </si>
  <si>
    <t>0231AKQW</t>
  </si>
  <si>
    <t>ST-CPU-INTEL-5420+-U</t>
  </si>
  <si>
    <t>Intel Sapphire Rapids 5420+ (2.0GHz/28核/52.5MB/205W) CPU模块(CTO&amp;BTO)</t>
  </si>
  <si>
    <t>0231AM8U</t>
  </si>
  <si>
    <t>ST-DDR5-4800-64G-2Rx4-R-U-2</t>
  </si>
  <si>
    <t>64GB 2Rx4 DDR5-4800-R SAMSUNG&amp;HYNIX内存模块(CTO&amp;BTO)</t>
  </si>
  <si>
    <t>0231AKQS</t>
  </si>
  <si>
    <t>ST-Polaris-NX1030-4x100G-U</t>
  </si>
  <si>
    <t>H3C UniStor Polaris 4x100G交换&amp;管理模块(CTO&amp;BTO)</t>
  </si>
  <si>
    <t>400*265*135</t>
  </si>
  <si>
    <t>0231AN3Q</t>
  </si>
  <si>
    <t>ST-SSD-1.92T-NVMe-E1.S-PB6541-U</t>
  </si>
  <si>
    <t>1.92TB PCIe Gen4 X4 NVMe 9.5mm RI PB6 6541 E1.S SSD硬盘模块(CTO&amp;BTO)</t>
  </si>
  <si>
    <t>235*125*71</t>
  </si>
  <si>
    <t>0231AKQR</t>
  </si>
  <si>
    <t>ST-SSD-480G-SATA-M.2-S4520-U</t>
  </si>
  <si>
    <t>480GB SATA S4520 M.2 硬盘模块(CTO&amp;BTO)</t>
  </si>
  <si>
    <t>0231AEBW</t>
  </si>
  <si>
    <t>UN-NIC-ETH640F-3S-2P</t>
  </si>
  <si>
    <t>2端口25GE光接口OCP3.0网卡(CTO&amp;BTO)</t>
  </si>
  <si>
    <t>0231AFQB</t>
  </si>
  <si>
    <t>UN-DPS-2400EB B</t>
  </si>
  <si>
    <t>2400W 交流&amp;240V高压直流电源模块(DT-R1-白金)(CTO&amp;BTO)</t>
  </si>
  <si>
    <t>0231AK7F</t>
  </si>
  <si>
    <t>UN-ME-HeatSink-1Ub-M</t>
  </si>
  <si>
    <t>1U热管散热器模块(CMCTO)</t>
  </si>
  <si>
    <t>0231AKQG</t>
  </si>
  <si>
    <t>ST-FAN-1U-4056-U</t>
  </si>
  <si>
    <t>1U 4056风扇模块(CTO&amp;BTO)</t>
  </si>
  <si>
    <t>190*125*86</t>
  </si>
  <si>
    <t>3130A3AE</t>
  </si>
  <si>
    <t>LIS-X10000-BLOCK-ENT</t>
  </si>
  <si>
    <t>H3C UniStor X10000系列分布式融合存储软件-块存储企业版License</t>
  </si>
  <si>
    <t>300*220*5</t>
  </si>
  <si>
    <t>3130A3AD</t>
  </si>
  <si>
    <t>LIS-X10000-STD</t>
  </si>
  <si>
    <t>H3C UniStor X10000系列分布式融合存储软件-标准版License</t>
  </si>
  <si>
    <t>0231AKQJ</t>
  </si>
  <si>
    <t>ST-RL-L-G6</t>
  </si>
  <si>
    <t>2U L型滑轨(CTO&amp;BTO)</t>
  </si>
  <si>
    <t>915*245*250</t>
  </si>
  <si>
    <t>0231AKP0</t>
  </si>
  <si>
    <t>ST-X10000-V5-BLOCK</t>
  </si>
  <si>
    <t>H3C UniStor X10000 V5 块存储场景模块(FIO)</t>
  </si>
  <si>
    <t>0231AKNX</t>
  </si>
  <si>
    <t>ST-X10000-V5-OBJECT</t>
  </si>
  <si>
    <t>H3C UniStor X10000 V5 对象存储场景模块(FIO)</t>
  </si>
  <si>
    <t>0231AKNW</t>
  </si>
  <si>
    <t>ST-X10000-V5-FILE</t>
  </si>
  <si>
    <t>H3C UniStor X10000 V5 文件存储场景模块(FIO)</t>
  </si>
  <si>
    <t>8814A0H1</t>
  </si>
  <si>
    <t>SV-PS-UIS-SIIS</t>
  </si>
  <si>
    <t>H3C UniStor X10000安装服务</t>
  </si>
  <si>
    <t>8814A0BQ</t>
  </si>
  <si>
    <t>SV-PS-IMA-100</t>
  </si>
  <si>
    <t>分布式存储运维保障服务</t>
  </si>
  <si>
    <t>9</t>
  </si>
  <si>
    <t>存储资源池--&gt;高IO-X10000</t>
  </si>
  <si>
    <t>9_1</t>
  </si>
  <si>
    <t>SLX10000HG5 #1</t>
  </si>
  <si>
    <t>0235A5ED</t>
  </si>
  <si>
    <t>ST-X10536H-G5-H3-Pro-C</t>
  </si>
  <si>
    <t>H3C UniStor X10536H G5 H3 Pro海量横向扩展存储(CTO主机)</t>
  </si>
  <si>
    <t>0231ARKJ</t>
  </si>
  <si>
    <t>ST-CPU-HG-7390H-2Uc-G5</t>
  </si>
  <si>
    <t>Hygon G5 C86-3G 7390H(2.7GHz/32核/128MB/260W)CPU模块(CTO&amp;BTO)</t>
  </si>
  <si>
    <t>305*245*190</t>
  </si>
  <si>
    <t>0231ARKE</t>
  </si>
  <si>
    <t>ST-DDR4-3200-32G-2Rx4-R-g</t>
  </si>
  <si>
    <t>32GB 2Rx4 DDR4-3200 Samsung RDIMM内存模块(HGZY)(CTO&amp;BTO)</t>
  </si>
  <si>
    <t>0231AGHX</t>
  </si>
  <si>
    <t>UN-PCA-BP-12LFF-R4300G5</t>
  </si>
  <si>
    <t>H3C UniServer R4300 G5 12LFF 硬盘扩展模块(CTO&amp;BTO)</t>
  </si>
  <si>
    <t>590*265*195</t>
  </si>
  <si>
    <t>0231AF5C</t>
  </si>
  <si>
    <t>UN-HDDCage-4SFF-4UniBay-2U-G5</t>
  </si>
  <si>
    <t>G5 2U后置4UniBay硬盘笼模块(CTO&amp;BTO)</t>
  </si>
  <si>
    <t>0231AJEN</t>
  </si>
  <si>
    <t>UN-BP-24LFF-L36-HG-G5</t>
  </si>
  <si>
    <t>G5 24LFF 硬盘扩展模块HG (CTO&amp;BTO)</t>
  </si>
  <si>
    <t>528*294*98</t>
  </si>
  <si>
    <t>0231AKNJ</t>
  </si>
  <si>
    <t>ST-HDD-16T-SATA-6G-7K2-UCL-1b</t>
  </si>
  <si>
    <t>16TB 6G SATA 7.2K 3.5in EV 512e HDD通用硬盘模块(CTO&amp;BTO)</t>
  </si>
  <si>
    <t>0231APGV</t>
  </si>
  <si>
    <t>ST-SSD-480G-SATA-UNCIA 3836-UCS</t>
  </si>
  <si>
    <t>480GB 6G SATA 2.5in RI UNCIA 3836 SSD UC通用硬盘模块(CTO&amp;BTO)</t>
  </si>
  <si>
    <t>0231AMXB</t>
  </si>
  <si>
    <t>ST-SSD-3.2T-NVMe-PB6537-UCS</t>
  </si>
  <si>
    <t>3.2TB PCIe Gen4 X4 NVMe U.2 2.5in MU PB6 6537 SSD通用硬盘模块(CTO&amp;BTO)</t>
  </si>
  <si>
    <t>0231AF5A</t>
  </si>
  <si>
    <t>UN-RC-3FHFL-2U-G5</t>
  </si>
  <si>
    <t>G5 2U X16X8X8 Riser(槽位1/2)(支持2个FHFL和1个FHHL,支持1张300W GPU)(CTO&amp;BTO)</t>
  </si>
  <si>
    <t>0231AHBE</t>
  </si>
  <si>
    <t>ST-DRIVE-CAGE-2SFF-FHHL-X16-G5-U</t>
  </si>
  <si>
    <t>G5后置2SFF硬盘笼+X16 RISER模块(CTO&amp;BTO)</t>
  </si>
  <si>
    <t>0231AG62</t>
  </si>
  <si>
    <t>UN-RAID-LSI-9560-LP-8i-4GB</t>
  </si>
  <si>
    <t>LSI 9560-8i 12G SAS RAID卡模块(支持8个SAS Port,带4GB缓存,PCIe,不含超级电容)(CTO&amp;BTO)</t>
  </si>
  <si>
    <t>0231AEYR</t>
  </si>
  <si>
    <t>UN-BAT-LSI-G3-A</t>
  </si>
  <si>
    <t>LSI G3超级电容模块(CTO&amp;BTO)</t>
  </si>
  <si>
    <t>0231A8K1</t>
  </si>
  <si>
    <t>UN-NIC-GE-4P-360T-B2-1</t>
  </si>
  <si>
    <t>4端口千兆电接口网卡-360T-B2</t>
  </si>
  <si>
    <t>0231AGUN</t>
  </si>
  <si>
    <t>UN-GW-CRPS1600D2</t>
  </si>
  <si>
    <t>1600W交流&amp;240V高压直流电源模块(GW-R1-白金)(CTO&amp;BTO)</t>
  </si>
  <si>
    <t>0231AGYW</t>
  </si>
  <si>
    <t>UN-FAN-H-4UG5-M</t>
  </si>
  <si>
    <t>H3C UniServer G5 高性能风扇模块(CTO&amp;BTO)</t>
  </si>
  <si>
    <t>0231AEYD</t>
  </si>
  <si>
    <t>UN-BB-4U-B</t>
  </si>
  <si>
    <t>4U滚珠滑轨(CTO&amp;BTO)</t>
  </si>
  <si>
    <t>0231AB0E</t>
  </si>
  <si>
    <t>UN-CMA-4U</t>
  </si>
  <si>
    <t>H3C UniServer R4300 G3 4U理线架(FIO)</t>
  </si>
  <si>
    <t>0404A1CM</t>
  </si>
  <si>
    <t>CAB-I2C-0.33m-W22M</t>
  </si>
  <si>
    <t>AUX信号电缆-0.33m-(HMB(6*1)1.25)-(UL2835)-(HMB(6*1)1.25)</t>
  </si>
  <si>
    <t>0404A1CB</t>
  </si>
  <si>
    <t>CAB-BP PWR-0.3m-W21X</t>
  </si>
  <si>
    <t>背板电源线-0.3m-(HMB(3*2)3.0)-(UL1007)-(HMB(4*2)3.0)</t>
  </si>
  <si>
    <t>0404A1CG</t>
  </si>
  <si>
    <t>CAB-I2C-0.2m-W22N</t>
  </si>
  <si>
    <t>AUX信号电缆-0.2m-(HMB(6*1)1.25)-(UL2835)-(HMB(6*1)1.25)</t>
  </si>
  <si>
    <t>0404A1CF</t>
  </si>
  <si>
    <t>CAB-BP PWR-0.2m-W21Y</t>
  </si>
  <si>
    <t>背板电源线-0.2m-(HMB(3*2)3.0)-(UL1007)-(HMB(4*2)3.0)</t>
  </si>
  <si>
    <t>0404A1EW</t>
  </si>
  <si>
    <t>CAB-SlimSAS-0.31m-W26T</t>
  </si>
  <si>
    <t>SlimSAS 电缆-0.31/0.20m-(SlimSAS LP 74P直)-(PCIe 4.0 Cable)-(SlimSAS 74P直)</t>
  </si>
  <si>
    <t>0404A1NV</t>
  </si>
  <si>
    <t>CAB-SAS-0.68m-W36H</t>
  </si>
  <si>
    <t>SAS电缆-0.68m-(MiniSAS HD 36P下弯)-(UL1061+SAS 3.0)-(MiniSAS HD 36P下弯)</t>
  </si>
  <si>
    <t>0404A1KT</t>
  </si>
  <si>
    <t>CAB-SAS-0.9m-W47B</t>
  </si>
  <si>
    <t>SAS电缆-0.9m-(SlimSAS 74P直)-(Flat(SAS Cable+UL3302))-(MiniSAS HD 72P下弯)</t>
  </si>
  <si>
    <t>10</t>
  </si>
  <si>
    <t>存储资源池--&gt;备份存储服务器</t>
  </si>
  <si>
    <t>10_1</t>
  </si>
  <si>
    <t>UIS3060G7 #1</t>
  </si>
  <si>
    <t>0235A54A</t>
  </si>
  <si>
    <t>UIS-3060-G7-LFF-C</t>
  </si>
  <si>
    <t>H3C UIS 3060 G7 LFF超融合一体机</t>
  </si>
  <si>
    <t>87.5mm*445.4mm*800mm</t>
  </si>
  <si>
    <t>87.5mm*482.6mm*828mm</t>
  </si>
  <si>
    <t>1040*600*263</t>
  </si>
  <si>
    <t>0231APW4</t>
  </si>
  <si>
    <t>UN-CPU-HYGON-7470</t>
  </si>
  <si>
    <t>海光C86-4G 7470(2.6GHz/48核/256MB/350W)CPU模块(CTO&amp;BTO)</t>
  </si>
  <si>
    <t>275*260*86</t>
  </si>
  <si>
    <t>0231AQW5</t>
  </si>
  <si>
    <t>UN-DDR5-5600B-32G-2Rx8-R-HG-M</t>
  </si>
  <si>
    <t>32GB 2Rx8 DDR5-5600B(CAS-46-45-45) RDIMM内存模块(HGZY)(CMCTO)</t>
  </si>
  <si>
    <t>0231AP39</t>
  </si>
  <si>
    <t>UN-PCA-BP-2UniBay-2U-G7</t>
  </si>
  <si>
    <t>G7 2U后置2UniBay硬盘笼模块(CTO&amp;BTO)</t>
  </si>
  <si>
    <t>240*190*91</t>
  </si>
  <si>
    <t>0231AP8X</t>
  </si>
  <si>
    <t>UN-PCA-BP-12LFF-EXP-A-2U-G6</t>
  </si>
  <si>
    <t>G6 2U前置12LFF带Expander硬盘背板模块(适用AMD)(CTO&amp;BTO)</t>
  </si>
  <si>
    <t>0231AMPN</t>
  </si>
  <si>
    <t>UN-SSD-1.92T-SATA-MU-UCC-M</t>
  </si>
  <si>
    <t>1.92TB 6G SATA 3.5in MU SSD UCC通用硬盘模块(CMCTO)</t>
  </si>
  <si>
    <t>0231AKVU</t>
  </si>
  <si>
    <t>UN-HDD-20T-SATA-7K2-UCL</t>
  </si>
  <si>
    <t>20TB 6G SATA 7.2K 3.5in EV 512e He HDD UC通用硬盘模块(CTO&amp;BTO)</t>
  </si>
  <si>
    <t>0231ARBP</t>
  </si>
  <si>
    <t>UN-SSD-480G-SATA-RI-UCS-GC-M</t>
  </si>
  <si>
    <t>480GB 6Gb/s SATA 2.5in RI SSD UCS通用硬盘模块(GC)(CMCTO)</t>
  </si>
  <si>
    <t>0231AP33</t>
  </si>
  <si>
    <t>UN-RC-3FHHL-2U-G7</t>
  </si>
  <si>
    <t>G7 2U Riser1/Riser2 X16X8X8转接卡(支持3张75W GPU)(CTO&amp;BTO)</t>
  </si>
  <si>
    <t>0231AEBU</t>
  </si>
  <si>
    <t>UN-NIC-ETH360T-3S-4P</t>
  </si>
  <si>
    <t>4端口1GE电接口OCP3.0网卡(CTO&amp;BTO)</t>
  </si>
  <si>
    <t>0231ACT9</t>
  </si>
  <si>
    <t>DPS-1300AB-6 R-M</t>
  </si>
  <si>
    <t>1300W 交流&amp;240V高压直流电源模块(DT-R1-白金)(CMCTO)</t>
  </si>
  <si>
    <t>0231AP2R</t>
  </si>
  <si>
    <t>UN-FAN-8056-2U-G7</t>
  </si>
  <si>
    <t>G7 2U 8056风扇模块(CTO&amp;BTO)</t>
  </si>
  <si>
    <t>0231AP34</t>
  </si>
  <si>
    <t>UN-ME-HeatSink-2UbY-R4930G7-M</t>
  </si>
  <si>
    <t>H3C UniServer R4930 G7 2U T型热管散热器模块(CMCTO)</t>
  </si>
  <si>
    <t>0231AP2P</t>
  </si>
  <si>
    <t>UN-PCA-BMC-R4930-G7</t>
  </si>
  <si>
    <t>H3C UniServer R4930 G7 BMC管理板模块(CTO&amp;BTO)</t>
  </si>
  <si>
    <t>0231APBG</t>
  </si>
  <si>
    <t>UN-IFIST-EX-G7</t>
  </si>
  <si>
    <t>H3C UniServer G7 iFIST模块(CTO&amp;BTO)</t>
  </si>
  <si>
    <t>0231AKEB</t>
  </si>
  <si>
    <t>UN-BB-2U-G6</t>
  </si>
  <si>
    <t>G6 2U/1U滚珠滑轨(CTO&amp;BTO)</t>
  </si>
  <si>
    <t>1045*190*146</t>
  </si>
  <si>
    <t>0231AP2S</t>
  </si>
  <si>
    <t>UN-ME-AirBaffle-R4930G7</t>
  </si>
  <si>
    <t>H3C UniServer R4930 G7 通用导风罩模块(CTO&amp;BTO)</t>
  </si>
  <si>
    <t>535*292*131</t>
  </si>
  <si>
    <t>0231AK71</t>
  </si>
  <si>
    <t>UN-FAN-COVER-OCP-G6</t>
  </si>
  <si>
    <t>G6 OCP专用导风罩模块(CTO&amp;BTO)</t>
  </si>
  <si>
    <t>183*117*61</t>
  </si>
  <si>
    <t>0231AQ34</t>
  </si>
  <si>
    <t>UIS-PCA-MB-3060-G7-7490</t>
  </si>
  <si>
    <t>H3C UIS 3060 G7 7490主板含扩展板(CTO&amp;BTO)</t>
  </si>
  <si>
    <t>668*576*180</t>
  </si>
  <si>
    <t>0404A2G1</t>
  </si>
  <si>
    <t>CAB-PCIe-0.13m-01356</t>
  </si>
  <si>
    <t>PCIe电缆-0.13m-(MCIO 74P左弯)-(PCIe 5.0+UL20744+UL1354+UL3302+SAS 4.0)-(MCIO 74P下弯)</t>
  </si>
  <si>
    <t>0404A2FH</t>
  </si>
  <si>
    <t>CAB-PCIe-0.5m-01382</t>
  </si>
  <si>
    <t>PCIe电缆-0.5m-MCIO 74P直-(PCIe 5.0+UL20744+UL1354+UL3302+SAS 4.0)-(MCIO 74P直)</t>
  </si>
  <si>
    <t>0404A1QY</t>
  </si>
  <si>
    <t>CAB-DC-0.3m-50820</t>
  </si>
  <si>
    <t>内部直流电源线-0.3m-(HMB(3*2)3.0)-(UL1061)-(HMB(3*2)3.0)</t>
  </si>
  <si>
    <t>0404A1QM</t>
  </si>
  <si>
    <t>CAB-SAS-0.9m-00716</t>
  </si>
  <si>
    <t>SAS电缆-0.9m-(SlimSAS 74P直)-(SAS 4.0+UL1354)-(SlimSAS 74P直)</t>
  </si>
  <si>
    <t>0404A1X6</t>
  </si>
  <si>
    <t>CAB-DC-0.2m-10588</t>
  </si>
  <si>
    <t>内部直流电源线-0.2m-(HMB(3*2)3.0)-(UL1061)-(HMB(3*2)3.0)</t>
  </si>
  <si>
    <t>0404A1S3</t>
  </si>
  <si>
    <t>CAB-SAS-0.7m-00613</t>
  </si>
  <si>
    <t>SAS电缆-0.7m-(SlimSAS 38P直)-(SAS 3.0+UL1354)-(MiniSAS HD 36P直)</t>
  </si>
  <si>
    <t>0404A1X9</t>
  </si>
  <si>
    <t>CAB-AUX-0.2m-10590</t>
  </si>
  <si>
    <t>AUX信号线-0.2m-(HMB(6*1)1.25)-(UL2835)-(HMB(6*1)1.25)</t>
  </si>
  <si>
    <t>0404A1QV</t>
  </si>
  <si>
    <t>CAB-DC-0.5m-50819</t>
  </si>
  <si>
    <t>内部直流电源线-0.5m-(HMB(3*2)3.0)-(UL1061)-(HMB(3*2)3.0)</t>
  </si>
  <si>
    <t>0404A20D</t>
  </si>
  <si>
    <t>CAB-PCIe-0.2m-01064</t>
  </si>
  <si>
    <t>PCIe电缆-0.2m-(MCIO 74P直)-(PCIe 5.0+UL1354)-(MCIO 74P直+HMB(3*2)3.0)</t>
  </si>
  <si>
    <t>0404A2F9</t>
  </si>
  <si>
    <t>CAB-PCIe-0.55m-01383</t>
  </si>
  <si>
    <t>PCIe电缆-0.55m-MCIO 74P直-(PCIe 5.0+UL20744+UL1354+UL3302+SAS 4.0)-(MCIO 74P直)</t>
  </si>
  <si>
    <t>11</t>
  </si>
  <si>
    <t xml:space="preserve">网络组--&gt;链路汇聚交换机 </t>
  </si>
  <si>
    <t>11_1</t>
  </si>
  <si>
    <t>S5590-EI Switch #1</t>
  </si>
  <si>
    <t>9801A5N8</t>
  </si>
  <si>
    <t>LS-5590-28T8XC-EI-G3</t>
  </si>
  <si>
    <t>H3C S5590-28T8XC-EI L3以太网交换机主机,支持28个10/100/1000Base-T端口(含4个SFP Combo口),8个1G/10GBase-X SFP Plus端口,支持1个Slot,无电源</t>
  </si>
  <si>
    <t>44mm*440mm*360mm</t>
  </si>
  <si>
    <t>44mm*480.6mm*360mm</t>
  </si>
  <si>
    <t>562*492*125</t>
  </si>
  <si>
    <t>0231AB53</t>
  </si>
  <si>
    <t>LSWM2ZQP2P</t>
  </si>
  <si>
    <t>2端口100G QSFP28接口模块</t>
  </si>
  <si>
    <t>290*170*101</t>
  </si>
  <si>
    <t>0231A4B1</t>
  </si>
  <si>
    <t>QSFP-100G-SR4-MM850</t>
  </si>
  <si>
    <t>100G QSFP28光模块(850nm,100m OM4,SR4,MPO)</t>
  </si>
  <si>
    <t>183*60*25</t>
  </si>
  <si>
    <t>0231AG3A</t>
  </si>
  <si>
    <t>PSR180-12A-B</t>
  </si>
  <si>
    <t>180W 资产管理交流电源模块(电源侧出风)</t>
  </si>
  <si>
    <t>355*215*76</t>
  </si>
  <si>
    <t>0231AG9F</t>
  </si>
  <si>
    <t>LSPM1FANSB-SN</t>
  </si>
  <si>
    <t>H3C 风扇模块(风扇侧出风)</t>
  </si>
  <si>
    <t>185*76*66</t>
  </si>
  <si>
    <t>117.00</t>
  </si>
  <si>
    <t>45.00</t>
  </si>
  <si>
    <t>64.00</t>
  </si>
  <si>
    <t>12</t>
  </si>
  <si>
    <t>网络组--&gt;网络核心交换机</t>
  </si>
  <si>
    <t>12_1</t>
  </si>
  <si>
    <t>H3C S12500G-AF #1</t>
  </si>
  <si>
    <t>0150A1WR</t>
  </si>
  <si>
    <t>LS-Z+M3+A-6</t>
  </si>
  <si>
    <t>H3C S12504G-AF-组合配置-(主机+双主控+三F类网板+双风扇+双电源)</t>
  </si>
  <si>
    <t>263.9mm*440mm*856mm</t>
  </si>
  <si>
    <t>263.9mm*482mm*1017mm</t>
  </si>
  <si>
    <t>475*235*116(2),387*273*160(2),466*375*113(3),555*330*101(2),1150*685*613(1)</t>
  </si>
  <si>
    <t>0231AC7L</t>
  </si>
  <si>
    <t>LSXM1CGQ36TE2</t>
  </si>
  <si>
    <t>H3C S12500 36端口100G以太网光接口模块(QSFP28)(TE)</t>
  </si>
  <si>
    <t>735*590*225</t>
  </si>
  <si>
    <t>0231AJ2E</t>
  </si>
  <si>
    <t>LSXM1TGS24XT24C4Q2TE2</t>
  </si>
  <si>
    <t>H3C S12500 24端口万兆以太网光接口(SFP+)+24端口万兆多速率以太网电接口(RJ45)+4端口100G以太网光接口(QSFP28)+2端口40G以太网光接口模块(QSFP+)(TE)</t>
  </si>
  <si>
    <t>0231AH0E</t>
  </si>
  <si>
    <t>QSFP-100G-SR4-MM850-H</t>
  </si>
  <si>
    <t>0231A1LU</t>
  </si>
  <si>
    <t>LSWM1QSTK2</t>
  </si>
  <si>
    <t>40G QSFP+ 5m电缆</t>
  </si>
  <si>
    <t>395*380*61</t>
  </si>
  <si>
    <t>0231A1RP</t>
  </si>
  <si>
    <t>SFP-XG-SX-MM850-D</t>
  </si>
  <si>
    <t>0231A2VL</t>
  </si>
  <si>
    <t>LSVM1BSR10</t>
  </si>
  <si>
    <t>H3C S9810 安装滑道附件-630mm~900mm</t>
  </si>
  <si>
    <t>761*291*104</t>
  </si>
  <si>
    <t>0231A3RM</t>
  </si>
  <si>
    <t>LSXM1BFP04A</t>
  </si>
  <si>
    <t>04网板假拉手条</t>
  </si>
  <si>
    <t>377*267*111</t>
  </si>
  <si>
    <t>2364.00</t>
  </si>
  <si>
    <t>1157.00</t>
  </si>
  <si>
    <t>1485.00</t>
  </si>
  <si>
    <t>13</t>
  </si>
  <si>
    <t>网络组--&gt;业务交换机25GE</t>
  </si>
  <si>
    <t>13_1</t>
  </si>
  <si>
    <t>S6850-G Switch #1</t>
  </si>
  <si>
    <t>0150A2US</t>
  </si>
  <si>
    <t>LS-Z+2A+5F</t>
  </si>
  <si>
    <t>H3C S6850-56HF-G交换机主机捆绑2个电源和5个风扇 (1*0235A2TM+2*0231A8FP+5*0231AG9F)</t>
  </si>
  <si>
    <t>44.0mm*440mm*400mm</t>
  </si>
  <si>
    <t>44.0mm*481mm*428mm</t>
  </si>
  <si>
    <t>355*215*76(2),576*548*180(1),185*76*66(5)</t>
  </si>
  <si>
    <t>0231A4AY</t>
  </si>
  <si>
    <t>QSFP-100G-D-CAB-1M</t>
  </si>
  <si>
    <t>100G QSFP28 to 100G QSFP28 1m无源电缆</t>
  </si>
  <si>
    <t>395*380*51</t>
  </si>
  <si>
    <t>0231AH0D</t>
  </si>
  <si>
    <t>SFP-25G-SR-MM850-H</t>
  </si>
  <si>
    <t>210.00</t>
  </si>
  <si>
    <t>99.00</t>
  </si>
  <si>
    <t>123.00</t>
  </si>
  <si>
    <t>14</t>
  </si>
  <si>
    <t>网络组--&gt;存储交换机25GE</t>
  </si>
  <si>
    <t>14_1</t>
  </si>
  <si>
    <t>0231A5H0</t>
  </si>
  <si>
    <t>SFP-25G-D-CAB-3M</t>
  </si>
  <si>
    <t>25G SFP28 to 25G SFP28 3m无源电缆</t>
  </si>
  <si>
    <t>335*260*56</t>
  </si>
  <si>
    <t>15</t>
  </si>
  <si>
    <t>网络组--&gt;管理交换机</t>
  </si>
  <si>
    <t>15_1</t>
  </si>
  <si>
    <t>16</t>
  </si>
  <si>
    <t>网络组--&gt;带外管理交换机</t>
  </si>
  <si>
    <t>16_1</t>
  </si>
  <si>
    <t>S5130S-EI-G-V2 Switch #1</t>
  </si>
  <si>
    <t>9801A7PL</t>
  </si>
  <si>
    <t>LS-5130S-28T8X-EI-G3-V2</t>
  </si>
  <si>
    <t>H3C S5130S-28T8X-EI-G-V2 L2以太网交换机主机,支持28个10/100/1000BASE-T端口,8个1G/10G BASE-X SFP Plus端口,无电源</t>
  </si>
  <si>
    <t>44mm*440mm*400mm</t>
  </si>
  <si>
    <t>44mm*480.6mm*405.3mm</t>
  </si>
  <si>
    <t>9801A2Q0</t>
  </si>
  <si>
    <t>CA-70A12</t>
  </si>
  <si>
    <t>可插拔AC(70W)电源模块</t>
  </si>
  <si>
    <t>280*220*72</t>
  </si>
  <si>
    <t>17</t>
  </si>
  <si>
    <t>网络组--&gt;接入交换机</t>
  </si>
  <si>
    <t>17_1</t>
  </si>
  <si>
    <t>18</t>
  </si>
  <si>
    <t>安全组--&gt;租户安全服务器（X86）</t>
  </si>
  <si>
    <t>18_1</t>
  </si>
  <si>
    <t>19</t>
  </si>
  <si>
    <t>安全组--&gt;上网行为管理ACG1000-AE-G</t>
  </si>
  <si>
    <t>19_1</t>
  </si>
  <si>
    <t>Domestic ACG1000 Series #1</t>
  </si>
  <si>
    <t>0150A2ED</t>
  </si>
  <si>
    <t>NS-ACG1000-AE-G+LIS</t>
  </si>
  <si>
    <t>H3C SecPath ACG1000-AE-G应用控制网关设备,支持6个千兆电接口,4个千兆光接口,2个USB接口,1个Console接口,2个Slot接口,2个2.5寸硬盘槽位,2个电源槽位,含系统功能及一年特征库升级授权</t>
  </si>
  <si>
    <t>300*220*5(1),615*570*145(1)</t>
  </si>
  <si>
    <t>0231A4PY</t>
  </si>
  <si>
    <t>NS-SSD-480G-SATA-SFF</t>
  </si>
  <si>
    <t>H3C SecPath系列,480GB 2.5inch SATA SSD 硬盘模块</t>
  </si>
  <si>
    <t>9803A080</t>
  </si>
  <si>
    <t>NS-NIM-TG4C</t>
  </si>
  <si>
    <t>H3C SecPath F5000-CN系列4端口SFP+接口模块</t>
  </si>
  <si>
    <t>290*210*85</t>
  </si>
  <si>
    <t>0231A8FP</t>
  </si>
  <si>
    <t>PSR250-12A1</t>
  </si>
  <si>
    <t>250W 交流电源模块（电源面板侧出风）</t>
  </si>
  <si>
    <t>3130A60F</t>
  </si>
  <si>
    <t>LIS-ACG1000-AE-G-APP&amp;URL-1Y</t>
  </si>
  <si>
    <t>H3C SecPath ACG1000-AE-G APP&amp;URL特征库升级授权函,1年</t>
  </si>
  <si>
    <t>20</t>
  </si>
  <si>
    <t>安全组--&gt;堡垒机A2000-CN40</t>
  </si>
  <si>
    <t>20_1</t>
  </si>
  <si>
    <t>Domestic A2000 Series Product #1</t>
  </si>
  <si>
    <t>0150A2HS</t>
  </si>
  <si>
    <t>NS-SecPath A2000-CN40+LIS</t>
  </si>
  <si>
    <t>H3C SecPath A2000-CN40运维审计系统设备,支持2个千兆电口,4个扩展槽,2个4TB HDD硬盘,2个HDD硬盘槽,350W电源1+1,(含系统功能授权,默认可管理600个资产)</t>
  </si>
  <si>
    <t>88.0mm*435mm*560mm</t>
  </si>
  <si>
    <t>88.0mm*484mm*560mm</t>
  </si>
  <si>
    <t>300*220*5(1)</t>
  </si>
  <si>
    <t>9801A2XR</t>
  </si>
  <si>
    <t>HDD-2T-SATA-6G-LFF-B</t>
  </si>
  <si>
    <t>H3C IPC 2T SATA 3.5寸机械硬盘模块</t>
  </si>
  <si>
    <t>305*235*88</t>
  </si>
  <si>
    <t>9801A1KM</t>
  </si>
  <si>
    <t>NSQM1IPCTG4A</t>
  </si>
  <si>
    <t>H3C SecPath IPC 4端口万兆以太网光接口模块(SFP+)</t>
  </si>
  <si>
    <t>250*176*60</t>
  </si>
  <si>
    <t>9801A1KD</t>
  </si>
  <si>
    <t>NSQM1IPCGT4GP4A</t>
  </si>
  <si>
    <t>H3C SecPath IPC 4端口千兆以太网电接口(RJ45)+4端口千兆以太网光接口(SFP)模块</t>
  </si>
  <si>
    <t>0504A1BM</t>
  </si>
  <si>
    <t>USB-ET199Auto USB Key</t>
  </si>
  <si>
    <t>A2000-G/AK/V系列双因素认证USBkey</t>
  </si>
  <si>
    <t>21</t>
  </si>
  <si>
    <t>安全组--&gt;日志审计系统CSAP-SA-700-G</t>
  </si>
  <si>
    <t>21_1</t>
  </si>
  <si>
    <t>H3C CSAP Audit Series #1</t>
  </si>
  <si>
    <t>0150A2RQ</t>
  </si>
  <si>
    <t>NS-SecCenter CSAP-SA-700-G+LIS</t>
  </si>
  <si>
    <t>H3C SecCenter CSAP-SA-700-G综合日志审计平台Bundle,含1台主机,含1个基础平台软件授权</t>
  </si>
  <si>
    <t>87.5mm*445.4mm*748mm</t>
  </si>
  <si>
    <t>87.5mm*482.6mm*776mm</t>
  </si>
  <si>
    <t>960*604*263(1),300*220*5(1)</t>
  </si>
  <si>
    <t>0231AND2</t>
  </si>
  <si>
    <t>NS-NIC-X710-10Gb-2P</t>
  </si>
  <si>
    <t>2端口10GE X710光接口网卡</t>
  </si>
  <si>
    <t>224*176*55</t>
  </si>
  <si>
    <t>294.40</t>
  </si>
  <si>
    <t>26.40</t>
  </si>
  <si>
    <t>264.69</t>
  </si>
  <si>
    <t>22</t>
  </si>
  <si>
    <t>安全组--&gt;链路负载均衡L5000-AD190-G1</t>
  </si>
  <si>
    <t>22_1</t>
  </si>
  <si>
    <t>H3C L5000 Series #1</t>
  </si>
  <si>
    <t>0235A56N</t>
  </si>
  <si>
    <t>NS-SecPath L5000-AD190-G1</t>
  </si>
  <si>
    <t>H3C SecPath L5000-AD190-G1 应用交付安全网关设备,支持16个10/100/1000BASE-T 电口,2个QSFP28端口,8个1G/10G BASE-X SFP+端口,8个10/100/1000BASE-X SFP端口,2个USB接口,2个扩展槽</t>
  </si>
  <si>
    <t>44.0mm*440mm*435mm</t>
  </si>
  <si>
    <t>44.0mm*481mm*460mm</t>
  </si>
  <si>
    <t>635*561*175</t>
  </si>
  <si>
    <t>0231A2NF</t>
  </si>
  <si>
    <t>QSFP-40G-SR4-MM850</t>
  </si>
  <si>
    <t>QSFP+ 40G光模块(850nm,100m,SR4,支持1分4)</t>
  </si>
  <si>
    <t>0231A6NC</t>
  </si>
  <si>
    <t>PSR450-12A1</t>
  </si>
  <si>
    <t>450W 交流电源模块（电源面板侧出风）</t>
  </si>
  <si>
    <t>267.69</t>
  </si>
  <si>
    <t>143.02</t>
  </si>
  <si>
    <t>162.00</t>
  </si>
  <si>
    <t>23</t>
  </si>
  <si>
    <t>安全组--&gt;互联网出口防火墙F5000-AI-55-G</t>
  </si>
  <si>
    <t>23_1</t>
  </si>
  <si>
    <t>F5000 Domestic Firewall Series Product #1</t>
  </si>
  <si>
    <t>0235A4UV</t>
  </si>
  <si>
    <t>NS-SecPath F5000-AI-55-G</t>
  </si>
  <si>
    <t>H3C SecPath F5000-AI-55-G防火墙设备,支持1个管理接口,2个USB接口,1个Console接口,6个扩展槽位</t>
  </si>
  <si>
    <t>44.0mm*440mm*560mm</t>
  </si>
  <si>
    <t>44.0mm*481mm*586mm</t>
  </si>
  <si>
    <t>740*600*200</t>
  </si>
  <si>
    <t>0231AG6D</t>
  </si>
  <si>
    <t>NS-SSD-480G-SATA-M.2</t>
  </si>
  <si>
    <t>H3C SecPath系列,480GB M.2 SSD 硬盘模块</t>
  </si>
  <si>
    <t>0231AN1F</t>
  </si>
  <si>
    <t>NS-FPIM-CQG4TG16GT16A</t>
  </si>
  <si>
    <t>H3C SecPath 4端口100G以太网光接口(QSFP28)+16端口万兆以太网光接口(SFP+)+16端口千兆以太网电接口模块(RJ45)(FPIM,A模块)</t>
  </si>
  <si>
    <t>505*365*110</t>
  </si>
  <si>
    <t>3130A2W0</t>
  </si>
  <si>
    <t>LIS-IMC7-SVF5KB-500</t>
  </si>
  <si>
    <t>H3C iMC-SSL VPN认证客户端-F5000-500 License</t>
  </si>
  <si>
    <t>3130A1R9</t>
  </si>
  <si>
    <t>LIS-F5000-ACG-1Y</t>
  </si>
  <si>
    <t>H3C SecPath F5000,应用识别特征库升级服务,1年</t>
  </si>
  <si>
    <t>3130A4D5</t>
  </si>
  <si>
    <t>LIS-F5000-TI-1Y</t>
  </si>
  <si>
    <t>H3C SecPath F5000 安全威胁情报升级服务授权函,1年</t>
  </si>
  <si>
    <t>3130A4DT</t>
  </si>
  <si>
    <t>LIS-F5000-TI-3Y</t>
  </si>
  <si>
    <t>H3C SecPath F5000 安全威胁情报升级服务授权函,3年</t>
  </si>
  <si>
    <t>3130A3W8</t>
  </si>
  <si>
    <t>LIS-IPS-A-1Y</t>
  </si>
  <si>
    <t>H3C SecPath IPS特征库升级服务授权函A,1年</t>
  </si>
  <si>
    <t>3130A1RD</t>
  </si>
  <si>
    <t>LIS-F5000-SSL-500</t>
  </si>
  <si>
    <t>H3C SecPath F5000,SSL VPN 500个用户</t>
  </si>
  <si>
    <t>3130A37G</t>
  </si>
  <si>
    <t>LIS-F5000-URL-1Y</t>
  </si>
  <si>
    <t>H3C SecPath F5000 URL特征库升级服务授权函,1年</t>
  </si>
  <si>
    <t>3130A3V5</t>
  </si>
  <si>
    <t>LIS-AV-A-1Y</t>
  </si>
  <si>
    <t>H3C SecPath AV防病毒安全授权函A,1年</t>
  </si>
  <si>
    <t>3130A3VD</t>
  </si>
  <si>
    <t>LIS-AV-A-3Y</t>
  </si>
  <si>
    <t>H3C SecPath AV防病毒安全授权函A,3年</t>
  </si>
  <si>
    <t>3130A1RA</t>
  </si>
  <si>
    <t>LIS-F5000-ACG-3Y</t>
  </si>
  <si>
    <t>H3C SecPath F5000,应用识别特征库升级服务,3年</t>
  </si>
  <si>
    <t>3130A3VB</t>
  </si>
  <si>
    <t>LIS-IPS-A-3Y</t>
  </si>
  <si>
    <t>H3C SecPath IPS特征库升级服务授权函A,3年</t>
  </si>
  <si>
    <t>3130A372</t>
  </si>
  <si>
    <t>LIS-F5000-URL-3Y</t>
  </si>
  <si>
    <t>H3C SecPath F5000 URL特征库升级服务授权函,3年</t>
  </si>
  <si>
    <t>297.78</t>
  </si>
  <si>
    <t>99.48</t>
  </si>
  <si>
    <t>154.90</t>
  </si>
  <si>
    <t>24</t>
  </si>
  <si>
    <t>安全组--&gt;运维管理区防火墙F1000-AI-65-G</t>
  </si>
  <si>
    <t>24_1</t>
  </si>
  <si>
    <t>F1000 Domestic Firewall Series Product #1</t>
  </si>
  <si>
    <t>0235A52V</t>
  </si>
  <si>
    <t>NS-SecPath F1000-AI-65-G</t>
  </si>
  <si>
    <t>H3C SecPath F1000-AI-65-G 防火墙设备,支持16个10/100/1000BASE-T 电口,2个QSFP28端口,8个1G/10G BASE-X SFP+端口,8个10/100/1000BASE-X SFP端口,2个USB接口,2个扩展槽</t>
  </si>
  <si>
    <t>3130A5RA</t>
  </si>
  <si>
    <t>LIS-F1000-AI-65-TAIAU-3Y</t>
  </si>
  <si>
    <t>H3C SecPath F1000-AI-65防火墙 TI/ACG/IPS/AV/URL组合特征库升级授权函,3年</t>
  </si>
  <si>
    <t>3130A5PV</t>
  </si>
  <si>
    <t>LIS-F1000-AI-65-TAIAU-1Y</t>
  </si>
  <si>
    <t>H3C SecPath F1000-AI-65防火墙 TI/ACG/IPS/AV/URL组合特征库升级授权函,1年</t>
  </si>
  <si>
    <t>227.77</t>
  </si>
  <si>
    <t>99.55</t>
  </si>
  <si>
    <t>132.56</t>
  </si>
  <si>
    <t>25</t>
  </si>
  <si>
    <t>安全组--&gt;漏洞扫描SecPath SysScan-CN80</t>
  </si>
  <si>
    <t>25_1</t>
  </si>
  <si>
    <t>Domestic SCAN Series Product #1</t>
  </si>
  <si>
    <t>0150A2HE</t>
  </si>
  <si>
    <t>NS-SecPath SysScan-CN80+LIS</t>
  </si>
  <si>
    <t>H3C SecPath SysScan-CN80漏洞扫描系统设备,支持2个千兆电口,4个扩展槽,1个4TB HDD硬盘,3个HDD硬盘槽,系统功能授权函(含系统和数据库漏扫,一年漏洞库升级授权,不含IP数量授权)</t>
  </si>
  <si>
    <t>3130A6D6</t>
  </si>
  <si>
    <t>LIS-SecPath SysScan-CN80-SS-1Y</t>
  </si>
  <si>
    <t>H3C SecPath SysScan-CN80漏洞库升级授权函</t>
  </si>
  <si>
    <t>3130A4TX</t>
  </si>
  <si>
    <t>LIS-SysScan-IP-E-1024</t>
  </si>
  <si>
    <t>H3C SecPath SysScan-E系列扫描1024个IP地址或域名授权函</t>
  </si>
  <si>
    <t>3130A6CS</t>
  </si>
  <si>
    <t>LIS-SecPath SysScan-CN80-VS</t>
  </si>
  <si>
    <t>H3C SecPath SysScan-CN80 Web漏扫功能模块授权函</t>
  </si>
  <si>
    <t>3130A6D2</t>
  </si>
  <si>
    <t>LIS-SecPath SysScan-CN80-BVT-B</t>
  </si>
  <si>
    <t>H3C SecPath SysScan-CN80基线核查功能模块授权函</t>
  </si>
  <si>
    <t>131.60</t>
  </si>
  <si>
    <t>101.70</t>
  </si>
  <si>
    <t>105.30</t>
  </si>
  <si>
    <t>26</t>
  </si>
  <si>
    <t>安全组--&gt;H3C CSAP iSOC Product #1</t>
  </si>
  <si>
    <t>26_1</t>
  </si>
  <si>
    <t>H3C CSAP iSOC Product #1</t>
  </si>
  <si>
    <t>0150A2S4</t>
  </si>
  <si>
    <t>NS-CSAP-iSOC-5000-G+LIS3</t>
  </si>
  <si>
    <t>H3C SecCenter CSAP-iSOC-5000-G安全威胁发现与运营管理平台Bundle,含1台主机,含平台软件授权及1年软件升级授权,1年威胁情报授权</t>
  </si>
  <si>
    <t>300*220*5(1),300*220*5(1),960*604*263(1),300*220*5(1)</t>
  </si>
  <si>
    <t>3130A6SG</t>
  </si>
  <si>
    <t>LIS-CSAP-CLS</t>
  </si>
  <si>
    <t>H3C SecCenter CSAP 安全威胁发现与运营管理平台-自定义大屏模块授权函</t>
  </si>
  <si>
    <t>3130A6SQ</t>
  </si>
  <si>
    <t>LIS-CSAP-iSOC-Update-1Y</t>
  </si>
  <si>
    <t>H3C SecCenter CSAP-iSOC-安全威胁发现与运营管理平台-平台软件升级授权函-1年</t>
  </si>
  <si>
    <t>3130A6SM</t>
  </si>
  <si>
    <t>LIS-CSAP-MLP</t>
  </si>
  <si>
    <t>H3C SecCenter CSAP 安全威胁发现与运营管理平台-等保管理模块授权函</t>
  </si>
  <si>
    <t>0231AND3</t>
  </si>
  <si>
    <t>NS-NIC-ETH531F-LP-2P</t>
  </si>
  <si>
    <t>2端口10GE光接口网卡</t>
  </si>
  <si>
    <t>8814A15D</t>
  </si>
  <si>
    <t>SV-PS-SE-MDR-CSSAP-5</t>
  </si>
  <si>
    <t>H3C 威胁检测与响应专属版MDR服务 (五年)</t>
  </si>
  <si>
    <t>26_2</t>
  </si>
  <si>
    <t>H3C CSAP Probe Series #1</t>
  </si>
  <si>
    <t>0150A2SK</t>
  </si>
  <si>
    <t>NS-SecCenter CSAP-NTA-E400-G+LIS</t>
  </si>
  <si>
    <t>H3C SecCenter CSAP-NTA-E400网络流量威胁检测探针Bundle,含1台CSAP-NTA-E400-G主机,一年特征库升级授权,8端口千兆以太网电接口</t>
  </si>
  <si>
    <t>395*177*111(1),740*600*200(1),395*177*111(1),185*76*66(4),300*220*5(1),395*177*111(1)</t>
  </si>
  <si>
    <t>3130A6S1</t>
  </si>
  <si>
    <t>LIS-SecCenter CSAP-NTA-EA-1Y</t>
  </si>
  <si>
    <t>H3C SecCenter CSAP-NTA-EA IPS/AV/APP/URL/WAF/TI 特征库升级授权函,1年</t>
  </si>
  <si>
    <t>195.02</t>
  </si>
  <si>
    <t>55.04</t>
  </si>
  <si>
    <t>98.53</t>
  </si>
  <si>
    <t>27</t>
  </si>
  <si>
    <t>安全组--&gt;Web防火墙W2000-CN40</t>
  </si>
  <si>
    <t>27_1</t>
  </si>
  <si>
    <t>Domestic W2000 Series Product #1</t>
  </si>
  <si>
    <t>0150A2HL</t>
  </si>
  <si>
    <t>NS-SecPath W2000-CN40+LIS-1Y</t>
  </si>
  <si>
    <t>H3C SecPath W2000-CN40 Web应用防火墙系统设备,支持2个千兆电口,4个扩展槽,1个4TB HDD硬盘,3个HDD硬盘槽,350W电源1+1,含系统软件功能授权(含一年特征库升级授权)</t>
  </si>
  <si>
    <t>3130A6CV</t>
  </si>
  <si>
    <t>LIS-SecPath W2000-CN40-1Y</t>
  </si>
  <si>
    <t>H3C SecPath W2000-CN40 WAF特征库升级授权函,1年</t>
  </si>
  <si>
    <t>28</t>
  </si>
  <si>
    <t>安全组--&gt;数据库审计SecPath W2000-CN40</t>
  </si>
  <si>
    <t>28_1</t>
  </si>
  <si>
    <t>Domestic D2000 Series Product #1</t>
  </si>
  <si>
    <t>0150A2HV</t>
  </si>
  <si>
    <t>NS-SecPath D2000-CN40+LIS</t>
  </si>
  <si>
    <t>H3C SecPath D2000-CN40数据库审计系统设备,支持2个千兆电口,4个扩展槽,1个8TB HDD硬盘,3个HDD硬盘槽,350W电源1+1,含系统授权(可审计4类数据库)</t>
  </si>
  <si>
    <t>93.20</t>
  </si>
  <si>
    <t>118.40</t>
  </si>
  <si>
    <t>29</t>
  </si>
  <si>
    <t>安全组--&gt;云内出口防火墙F5000-AI-55-G</t>
  </si>
  <si>
    <t>29_1</t>
  </si>
  <si>
    <t>30</t>
  </si>
  <si>
    <t>安全组--&gt;网闸GAP2000-E20</t>
  </si>
  <si>
    <t>30_1</t>
  </si>
  <si>
    <t>H3C GAP Series #1</t>
  </si>
  <si>
    <t>9801A73C</t>
  </si>
  <si>
    <t>NS-SecPath GAP2000-E20</t>
  </si>
  <si>
    <t>H3C SecPath GAP2000-E20安全隔离与信息交换系统设备(双电源/(6GE+2SFP)*2)</t>
  </si>
  <si>
    <t>88.5mm*440mm*570mm</t>
  </si>
  <si>
    <t>765*565*305</t>
  </si>
  <si>
    <t>3130A37Q</t>
  </si>
  <si>
    <t>LIS-GAP2000-VT</t>
  </si>
  <si>
    <t>H3C SecPath GAP2000视频传输模块功能授权函</t>
  </si>
  <si>
    <t>3130A37N</t>
  </si>
  <si>
    <t>LIS-GAP2000-DS</t>
  </si>
  <si>
    <t>H3C SecPath GAP2000数据库同步模块功能授权函</t>
  </si>
  <si>
    <t>60.00</t>
  </si>
  <si>
    <t>40.00</t>
  </si>
  <si>
    <t>48.00</t>
  </si>
  <si>
    <t>31</t>
  </si>
  <si>
    <t>安全组--&gt;终端安全ESM-G #1</t>
  </si>
  <si>
    <t>31_1</t>
  </si>
  <si>
    <t>ESM-G #1</t>
  </si>
  <si>
    <t>3130A5P5</t>
  </si>
  <si>
    <t>LIS-ESM-G-Server-100-1Y</t>
  </si>
  <si>
    <t>H3C SecCenter ESM-G终端安全管理系统服务器版100节点1年授权函</t>
  </si>
  <si>
    <t>3130A5NR</t>
  </si>
  <si>
    <t>LIS-ESM-G-Server-100-3Y</t>
  </si>
  <si>
    <t>H3C SecCenter ESM-G终端安全管理系统服务器版100节点3年授权函</t>
  </si>
  <si>
    <t>32</t>
  </si>
  <si>
    <t>安全组--&gt;数据安全治理与运营中心</t>
  </si>
  <si>
    <t>32_1</t>
  </si>
  <si>
    <t>H3C CSAP One Machine Series #1</t>
  </si>
  <si>
    <t>0235A4X6</t>
  </si>
  <si>
    <t>NS-SecCenter X3100-G</t>
  </si>
  <si>
    <t>H3C SecCenter X3100-G安全一体机主机设备</t>
  </si>
  <si>
    <t>87.5mm*446mm*748mm</t>
  </si>
  <si>
    <t>87.5mm*483mm*776mm</t>
  </si>
  <si>
    <t>960*604*263</t>
  </si>
  <si>
    <t>0231ANDA</t>
  </si>
  <si>
    <t>NS-SSD-960G-SATA-SFF-1</t>
  </si>
  <si>
    <t>960GB 6G SATA 2.5in RI 5400PRO SSD硬盘模块</t>
  </si>
  <si>
    <t>0231AND6</t>
  </si>
  <si>
    <t>NS-HDD-16T-SATA-LFF</t>
  </si>
  <si>
    <t>16TB 6G SATA 7.2K 3.5in EV 512e HDD硬盘模块</t>
  </si>
  <si>
    <t>452.59</t>
  </si>
  <si>
    <t>389.37</t>
  </si>
  <si>
    <t>421.68</t>
  </si>
  <si>
    <t>32_2</t>
  </si>
  <si>
    <t>H3C SecCenter CSAP-MCP-BSO  #1</t>
  </si>
  <si>
    <t>3130A3B3</t>
  </si>
  <si>
    <t>LIS-SecCenter CSAP-MCP-BSO</t>
  </si>
  <si>
    <t>H3C SecCenter CSAP 数据安全威胁发现与运营管理平台授权函</t>
  </si>
  <si>
    <t>33</t>
  </si>
  <si>
    <t>安全组--&gt;数安中心-探针</t>
  </si>
  <si>
    <t>8814A197</t>
  </si>
  <si>
    <t>SV-PS-SE-DSPS</t>
  </si>
  <si>
    <t>数据安全产品服务</t>
  </si>
  <si>
    <t>34</t>
  </si>
  <si>
    <t>安全组--&gt;轻量化安全运营服务</t>
  </si>
  <si>
    <t>8814A12W</t>
  </si>
  <si>
    <t>SV-PS-SE-MDR-SE</t>
  </si>
  <si>
    <t>威胁检测与响应服务MDR (标准版)</t>
  </si>
  <si>
    <t>35</t>
  </si>
  <si>
    <t>安全组--&gt;安全专家日服务</t>
  </si>
  <si>
    <t>8814A0F9</t>
  </si>
  <si>
    <t>SV-PS-SES</t>
  </si>
  <si>
    <t>安全专家日</t>
  </si>
  <si>
    <t>36</t>
  </si>
  <si>
    <t>安全组--&gt;等保咨询服务</t>
  </si>
  <si>
    <t>8814A0BJ</t>
  </si>
  <si>
    <t>SV-PS-CS</t>
  </si>
  <si>
    <t>等级保护合规咨询服务</t>
  </si>
  <si>
    <t>37</t>
  </si>
  <si>
    <t>安全组--&gt;云安全</t>
  </si>
  <si>
    <t>37_1</t>
  </si>
  <si>
    <t>0150A260</t>
  </si>
  <si>
    <t>CLOUDOS-SEC-LIS2</t>
  </si>
  <si>
    <t>H3C CloudOS 安全软件组合包License</t>
  </si>
  <si>
    <t>300*220*5(1),300*220*5(1)</t>
  </si>
  <si>
    <t>3132A0TK</t>
  </si>
  <si>
    <t>LIS-CLOUDOS-SEC-50</t>
  </si>
  <si>
    <t>H3C CloudOS 安全节点管理License-50个</t>
  </si>
  <si>
    <t>3132A14E</t>
  </si>
  <si>
    <t>LIS-SecCloud OMP-FC-UL</t>
  </si>
  <si>
    <t>H3C SecCloud OMP安全云管理平台企业版FC自由兑换模式永久订阅授权函</t>
  </si>
  <si>
    <t>3132A14G</t>
  </si>
  <si>
    <t>LIS-SecCloud OMP-FC-UL-1Y</t>
  </si>
  <si>
    <t>H3C SecCloud OMP安全云管理平台企业版FC自由兑换模式一年更新服务授权函(适用于永久订阅产品)</t>
  </si>
  <si>
    <t>8813A81D</t>
  </si>
  <si>
    <t>SV-MA-H3C-SFCOS7-3Y</t>
  </si>
  <si>
    <t>H3C CloudOS7.0软件技术支持服务(三年)</t>
  </si>
  <si>
    <t>CLOUDOS7</t>
  </si>
  <si>
    <t>38</t>
  </si>
  <si>
    <t>平台组--&gt;云平台软件</t>
  </si>
  <si>
    <t>38_1</t>
  </si>
  <si>
    <t>3130A58M</t>
  </si>
  <si>
    <t>LIS-CLOUDOS-PLAT</t>
  </si>
  <si>
    <t>H3C CloudOS 基础平台软件License</t>
  </si>
  <si>
    <t>3130A66B</t>
  </si>
  <si>
    <t>LIS-CLOUDOS-BACKUP</t>
  </si>
  <si>
    <t>H3C CloudOS 云备份服务组件License</t>
  </si>
  <si>
    <t>3132A0T1</t>
  </si>
  <si>
    <t>LIS-CLOUDOS-PLAT-50</t>
  </si>
  <si>
    <t>H3C CloudOS 基础平台管理License-50台</t>
  </si>
  <si>
    <t>3130A58Y</t>
  </si>
  <si>
    <t>LIS-CLOUDOS-ECS</t>
  </si>
  <si>
    <t>H3C CloudOS 计算组件软件License</t>
  </si>
  <si>
    <t>3132A0TU</t>
  </si>
  <si>
    <t>LIS-CLOUDOS-ECS-VM-1</t>
  </si>
  <si>
    <t>H3C CloudOS 计算虚拟化License-1CPU</t>
  </si>
  <si>
    <t>3132A0U5</t>
  </si>
  <si>
    <t>LIS-CLOUDOS-ECS-BM-1</t>
  </si>
  <si>
    <t>H3C CloudOS 裸金属License-1CPU</t>
  </si>
  <si>
    <t>3130A58R</t>
  </si>
  <si>
    <t>LIS-CLOUDOS-BLK</t>
  </si>
  <si>
    <t>H3C CloudOS 块存储组件软件License</t>
  </si>
  <si>
    <t>3132A0T4</t>
  </si>
  <si>
    <t>LIS-CLOUDOS-BLK-SSD-E-1</t>
  </si>
  <si>
    <t>H3C CloudOS 块存储纳管License-1T(SSD型)</t>
  </si>
  <si>
    <t>3132A0W4</t>
  </si>
  <si>
    <t>LIS-CLOUDOS-BLK-HDD-E-1P</t>
  </si>
  <si>
    <t>H3C CloudOS 块存储纳管License-1P(HDD型)</t>
  </si>
  <si>
    <t>3132A0W8</t>
  </si>
  <si>
    <t>LIS-CLOUDOS-BLK-HDD-E-100T</t>
  </si>
  <si>
    <t>H3C CloudOS 块存储纳管License-100T(HDD型)</t>
  </si>
  <si>
    <t>3130A592</t>
  </si>
  <si>
    <t>LIS-CLOUDOS-NAS</t>
  </si>
  <si>
    <t>H3C CloudOS 文件存储组件软件License</t>
  </si>
  <si>
    <t>3132A0VT</t>
  </si>
  <si>
    <t>LIS-CLOUDOS-NAS-HDD-E-100T</t>
  </si>
  <si>
    <t>H3C CloudOS 文件存储纳管License-100T(HDD型)</t>
  </si>
  <si>
    <t>3130A595</t>
  </si>
  <si>
    <t>LIS-CLOUDOS-OSS</t>
  </si>
  <si>
    <t>H3C CloudOS 对象存储组件软件License</t>
  </si>
  <si>
    <t>3132A0WB</t>
  </si>
  <si>
    <t>LIS-CLOUDOS-OSS-STD-E-100T</t>
  </si>
  <si>
    <t>H3C CloudOS 对象存储纳管License-100T(标准版)</t>
  </si>
  <si>
    <t>3130A59A</t>
  </si>
  <si>
    <t>LIS-CLOUDOS-NET</t>
  </si>
  <si>
    <t>H3C CloudOS SDN组件软件License</t>
  </si>
  <si>
    <t>3130A66H</t>
  </si>
  <si>
    <t>LIS-CLOUDOS-NET-VHSLB</t>
  </si>
  <si>
    <t>H3C CloudOS 虚拟高性能负载均衡组件License</t>
  </si>
  <si>
    <t>3132A0TG</t>
  </si>
  <si>
    <t>LIS-CLOUDOS-NET-OVS-1</t>
  </si>
  <si>
    <t>H3C CloudOS 虚拟交换机License-1个</t>
  </si>
  <si>
    <t>3130A596</t>
  </si>
  <si>
    <t>LIS-CLOUDOS-CS</t>
  </si>
  <si>
    <t>H3C CloudOS 容器组件软件License</t>
  </si>
  <si>
    <t>3132A1J2</t>
  </si>
  <si>
    <t>LIS-CLOUDOS-CS-100</t>
  </si>
  <si>
    <t>H3C CloudOS 独享容器服务License-100vCPU</t>
  </si>
  <si>
    <t>3130A58N</t>
  </si>
  <si>
    <t>LIS-CLOUDOS-DB</t>
  </si>
  <si>
    <t>H3C CloudOS 数据库组件软件License</t>
  </si>
  <si>
    <t>3132A0TC</t>
  </si>
  <si>
    <t>LIS-CLOUDOS-DB-MYSQL-1</t>
  </si>
  <si>
    <t>H3C CloudOS MySQL数据库服务License-1vCPU</t>
  </si>
  <si>
    <t>3132A155</t>
  </si>
  <si>
    <t>LIS-CLOUDOS-DB-DMS-1</t>
  </si>
  <si>
    <t>H3C CloudOS DMS数据库迁移服务License-1套</t>
  </si>
  <si>
    <t>8814A1B8</t>
  </si>
  <si>
    <t>SV-PS-HCSDAJCS</t>
  </si>
  <si>
    <t>H3C CloudOS SDN设计与部署联调服务</t>
  </si>
  <si>
    <t>8814A1B9</t>
  </si>
  <si>
    <t>SV-PS-HCPDAJCS</t>
  </si>
  <si>
    <t>H3C CloudOS 平台设计与部署联调服务</t>
  </si>
  <si>
    <t>8814A0M3</t>
  </si>
  <si>
    <t>SV-PS-CC-CIDS</t>
  </si>
  <si>
    <t>H3C CloudOS容器集成部署服务</t>
  </si>
  <si>
    <t>8814A11M</t>
  </si>
  <si>
    <t>SV-PS-HCCNDS-1C</t>
  </si>
  <si>
    <t>H3C CloudOS计算节点部署服务(1CPU)</t>
  </si>
  <si>
    <t>8814A13F</t>
  </si>
  <si>
    <t>SV-PS-HCDDJCS</t>
  </si>
  <si>
    <t>H3C云数据库部署联调服务</t>
  </si>
  <si>
    <t>8814A07B</t>
  </si>
  <si>
    <t>SV-PS-H3CLOUD-IPSADS</t>
  </si>
  <si>
    <t>H3C云计算专家日服务</t>
  </si>
  <si>
    <t>8814A0XT</t>
  </si>
  <si>
    <t>SV-PS-HAOAMSS</t>
  </si>
  <si>
    <t>H3C云计算高级运维支持服务</t>
  </si>
  <si>
    <t>39</t>
  </si>
  <si>
    <t>平台组--&gt;云平台定制开发</t>
  </si>
  <si>
    <t>3132A0U2</t>
  </si>
  <si>
    <t>LIS-CLOUDOS-VAS-CDC-1</t>
  </si>
  <si>
    <t>H3C CloudOS 定制开发服务-1人天</t>
  </si>
  <si>
    <t>40</t>
  </si>
  <si>
    <t>平台组--&gt;云智产品巡检服务(3年)</t>
  </si>
  <si>
    <t>8814A14K</t>
  </si>
  <si>
    <t>SV-PS-OAS-CLD-3Y</t>
  </si>
  <si>
    <t>云智产品巡检服务(3年)</t>
  </si>
  <si>
    <t>41</t>
  </si>
  <si>
    <t>平台组--&gt;管理服务器</t>
  </si>
  <si>
    <t>41_1</t>
  </si>
  <si>
    <t>UIS3060G5H3 #1</t>
  </si>
  <si>
    <t>0235A5D3</t>
  </si>
  <si>
    <t>UIS-3060-G5-LFF-H3-Pro-C</t>
  </si>
  <si>
    <t>H3C UIS 3060 G5 H3 Pro LFF超融合一体机</t>
  </si>
  <si>
    <t>0231ANLA</t>
  </si>
  <si>
    <t>UN-CPU-HYGON-7390-H</t>
  </si>
  <si>
    <t>海光C86-3G 7390H(2.7GHz/32核/128MB/260W)CPU 模块(CTO&amp;BTO)</t>
  </si>
  <si>
    <t>0231AR4J</t>
  </si>
  <si>
    <t>UN-DDR4-3200-32G-2Rx4-R-g</t>
  </si>
  <si>
    <t>0231AF55</t>
  </si>
  <si>
    <t>UN-HDDCage-2SFF-2UniBay-2U-G5</t>
  </si>
  <si>
    <t>G5 2U后置2UniBay硬盘笼模块(CTO&amp;BTO)</t>
  </si>
  <si>
    <t>0231AF53</t>
  </si>
  <si>
    <t>UN-PCA-BP-12LFF-EXP-2U-G5</t>
  </si>
  <si>
    <t>G5 2U前置12LFF带Expander硬盘背板模块(CTO&amp;BTO)</t>
  </si>
  <si>
    <t>0231AFEG</t>
  </si>
  <si>
    <t>UN-HDD-2.4T-SAS-12G-10K-UCC-b</t>
  </si>
  <si>
    <t>2.4TB 12G SAS 10K 3.5in EP 512e HDD UCC通用硬盘模块(CTO&amp;BTO)</t>
  </si>
  <si>
    <t>0231ALYU</t>
  </si>
  <si>
    <t>UN-SSD-480G-SATA-RI-UCC-M</t>
  </si>
  <si>
    <t>480GB 6G SATA 3.5in RI SSD UCC通用硬盘模块(CMCTO)</t>
  </si>
  <si>
    <t>0231A8P1</t>
  </si>
  <si>
    <t>UN-RAID-P460-B4-F</t>
  </si>
  <si>
    <t>P460-B4 12G SAS RAID卡模块(支持8个SAS Port,带4GB缓存,不含超级电容)(CMCTO)</t>
  </si>
  <si>
    <t>0231AFA4</t>
  </si>
  <si>
    <t>UN-BAT-PMC-G3-2U</t>
  </si>
  <si>
    <t>PMC G3超级电容模块(应用在2U标卡)(CTO&amp;BTO)</t>
  </si>
  <si>
    <t>0231AGUP</t>
  </si>
  <si>
    <t>UN-GW-CRPS1300D3</t>
  </si>
  <si>
    <t>1300W交流&amp;240V高压直流电源模块(GW-R1-白金-轻载高效)(CTO&amp;BTO)</t>
  </si>
  <si>
    <t>0231AF5G</t>
  </si>
  <si>
    <t>UN-FAN-6056-2U-G5</t>
  </si>
  <si>
    <t>H3C UniServer G5 2U 6056风扇模块(CTO&amp;BTO)</t>
  </si>
  <si>
    <t>257*191*109</t>
  </si>
  <si>
    <t>0231AP42</t>
  </si>
  <si>
    <t>UN-ME-HeatSink-2Ub-R4930G5Pro</t>
  </si>
  <si>
    <t>0231APX9</t>
  </si>
  <si>
    <t>UN-RL-G-G6</t>
  </si>
  <si>
    <t>0404A1CL</t>
  </si>
  <si>
    <t>CAB-I2C-0.35m-W22J</t>
  </si>
  <si>
    <t>AUX信号电缆-0.35m-(HMB(6*1)1.25)-(UL2835)-(HMB(6*1)1.25)</t>
  </si>
  <si>
    <t>0404A1CA</t>
  </si>
  <si>
    <t>CAB-BP PWR-0.33m-W22B</t>
  </si>
  <si>
    <t>背板电源线-0.33m-(HMB(5*1)3.0)-(UL1007)-(HMB(3*2)3.0)</t>
  </si>
  <si>
    <t>0404A1CC</t>
  </si>
  <si>
    <t>CAB-BP PWR-0.23m-W43X</t>
  </si>
  <si>
    <t>背板电源线-0.23m-(HMB(5*1)3.0)-(UL1007)-(HMB(3*2)3.0)</t>
  </si>
  <si>
    <t>0404A1EC</t>
  </si>
  <si>
    <t>CAB-MiniSAS HD-0.68m-W18S</t>
  </si>
  <si>
    <t>MiniSAS HD线缆-0.68m-(MiniSAS HD 36P下弯)-(SAS 3.0 Flat Cable)-(MiniSAS HD 36P下弯)</t>
  </si>
  <si>
    <t>0404A1DX</t>
  </si>
  <si>
    <t>CAB-MiniSAS HD-0.55m-W43R</t>
  </si>
  <si>
    <t>MiniSAS HD线缆-0.55m-(MiniSAS HD 72P下弯)-(SAS 3.0 Flat Cable)-(MiniSAS 68P直)</t>
  </si>
  <si>
    <t>8814A0LP</t>
  </si>
  <si>
    <t>SV-PS-UHCIIADS</t>
  </si>
  <si>
    <t>H3C UIS超融合一体机安装部署服务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</si>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</sst>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);[Red]\(0.00000000\)"/>
    <numFmt numFmtId="177" formatCode="dd/mmm/yy"/>
  </numFmts>
  <fonts count="41">
    <font>
      <sz val="11"/>
      <color theme="1"/>
      <name val="宋体"/>
      <charset val="134"/>
    </font>
    <font>
      <sz val="8"/>
      <color indexed="10"/>
      <name val="微软雅黑"/>
      <family val="2"/>
      <charset val="134"/>
    </font>
    <font>
      <b/>
      <u/>
      <sz val="18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b/>
      <sz val="28"/>
      <name val="微软雅黑"/>
      <family val="2"/>
      <charset val="134"/>
    </font>
    <font>
      <sz val="28"/>
      <name val="微软雅黑"/>
      <family val="2"/>
      <charset val="134"/>
    </font>
    <font>
      <b/>
      <sz val="20"/>
      <name val="微软雅黑"/>
      <family val="2"/>
      <charset val="134"/>
    </font>
    <font>
      <b/>
      <sz val="12"/>
      <name val="微软雅黑"/>
      <family val="2"/>
      <charset val="134"/>
    </font>
    <font>
      <u/>
      <sz val="12"/>
      <name val="微软雅黑"/>
      <family val="2"/>
      <charset val="134"/>
    </font>
    <font>
      <sz val="16"/>
      <name val="微软雅黑"/>
      <family val="2"/>
      <charset val="134"/>
    </font>
    <font>
      <b/>
      <sz val="14"/>
      <name val="微软雅黑"/>
      <family val="2"/>
      <charset val="134"/>
    </font>
    <font>
      <b/>
      <sz val="16"/>
      <name val="微软雅黑"/>
      <family val="2"/>
      <charset val="134"/>
    </font>
    <font>
      <sz val="12"/>
      <color indexed="23"/>
      <name val="微软雅黑"/>
      <family val="2"/>
      <charset val="134"/>
    </font>
    <font>
      <b/>
      <u/>
      <sz val="16"/>
      <name val="微软雅黑"/>
      <family val="2"/>
      <charset val="134"/>
    </font>
    <font>
      <u/>
      <sz val="16"/>
      <name val="微软雅黑"/>
      <family val="2"/>
      <charset val="134"/>
    </font>
    <font>
      <sz val="11"/>
      <color indexed="8"/>
      <name val="宋体"/>
      <charset val="134"/>
    </font>
    <font>
      <u/>
      <sz val="11"/>
      <color theme="10"/>
      <name val="宋体"/>
      <charset val="134"/>
    </font>
    <font>
      <u/>
      <sz val="11"/>
      <color theme="11"/>
      <name val="宋体"/>
      <charset val="134"/>
    </font>
    <font>
      <sz val="11"/>
      <color rgb="FFFF0000"/>
      <name val="宋体"/>
      <charset val="134"/>
    </font>
    <font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name val="Times New Roman"/>
      <family val="1"/>
      <charset val="0"/>
    </font>
    <font>
      <sz val="12"/>
      <name val="宋体"/>
      <charset val="134"/>
    </font>
    <font>
      <b/>
      <sz val="11"/>
      <name val="微软雅黑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5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7" borderId="14" applyNumberFormat="0" applyAlignment="0" applyProtection="0">
      <alignment vertical="center"/>
    </xf>
    <xf numFmtId="0" fontId="29" fillId="7" borderId="13" applyNumberFormat="0" applyAlignment="0" applyProtection="0">
      <alignment vertical="center"/>
    </xf>
    <xf numFmtId="0" fontId="30" fillId="8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/>
    <xf numFmtId="0" fontId="38" fillId="0" borderId="0">
      <alignment vertical="center"/>
    </xf>
    <xf numFmtId="0" fontId="37" fillId="0" borderId="0"/>
    <xf numFmtId="0" fontId="38" fillId="0" borderId="0"/>
  </cellStyleXfs>
  <cellXfs count="40">
    <xf numFmtId="0" fontId="0" fillId="0" borderId="0" xfId="0"/>
    <xf numFmtId="176" fontId="0" fillId="0" borderId="0" xfId="0" applyNumberFormat="1"/>
    <xf numFmtId="0" fontId="1" fillId="0" borderId="0" xfId="0" applyFont="1" applyAlignment="1">
      <alignment vertical="center"/>
    </xf>
    <xf numFmtId="0" fontId="2" fillId="0" borderId="1" xfId="6" applyFont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0" borderId="3" xfId="0" applyFont="1" applyBorder="1" applyAlignment="1" applyProtection="1"/>
    <xf numFmtId="4" fontId="4" fillId="3" borderId="4" xfId="0" applyNumberFormat="1" applyFont="1" applyFill="1" applyBorder="1"/>
    <xf numFmtId="4" fontId="5" fillId="0" borderId="4" xfId="0" applyNumberFormat="1" applyFont="1" applyBorder="1"/>
    <xf numFmtId="4" fontId="4" fillId="0" borderId="4" xfId="0" applyNumberFormat="1" applyFont="1" applyBorder="1"/>
    <xf numFmtId="0" fontId="4" fillId="2" borderId="5" xfId="0" applyFont="1" applyFill="1" applyBorder="1" applyAlignment="1">
      <alignment horizontal="right"/>
    </xf>
    <xf numFmtId="4" fontId="4" fillId="2" borderId="5" xfId="0" applyNumberFormat="1" applyFont="1" applyFill="1" applyBorder="1" applyAlignment="1">
      <alignment horizontal="right"/>
    </xf>
    <xf numFmtId="176" fontId="0" fillId="0" borderId="3" xfId="0" applyNumberFormat="1" applyFont="1" applyBorder="1" applyAlignment="1" applyProtection="1"/>
    <xf numFmtId="1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4" fillId="2" borderId="5" xfId="0" applyFont="1" applyFill="1" applyBorder="1" applyAlignment="1">
      <alignment horizontal="center"/>
    </xf>
    <xf numFmtId="0" fontId="2" fillId="0" borderId="6" xfId="6" applyFont="1" applyBorder="1" applyAlignment="1">
      <alignment horizontal="center" vertical="center"/>
    </xf>
    <xf numFmtId="0" fontId="0" fillId="3" borderId="7" xfId="0" applyFill="1" applyBorder="1"/>
    <xf numFmtId="0" fontId="5" fillId="0" borderId="7" xfId="0" applyFont="1" applyBorder="1"/>
    <xf numFmtId="4" fontId="4" fillId="2" borderId="8" xfId="0" applyNumberFormat="1" applyFont="1" applyFill="1" applyBorder="1"/>
    <xf numFmtId="0" fontId="0" fillId="2" borderId="8" xfId="0" applyFill="1" applyBorder="1"/>
    <xf numFmtId="0" fontId="0" fillId="4" borderId="0" xfId="0" applyFill="1"/>
    <xf numFmtId="0" fontId="6" fillId="0" borderId="0" xfId="52" applyFont="1" applyAlignment="1">
      <alignment vertical="center"/>
    </xf>
    <xf numFmtId="0" fontId="6" fillId="0" borderId="0" xfId="52" applyFont="1">
      <alignment vertical="center"/>
    </xf>
    <xf numFmtId="0" fontId="7" fillId="0" borderId="0" xfId="51" applyFont="1" applyAlignment="1">
      <alignment horizontal="center" vertical="center" shrinkToFit="1"/>
    </xf>
    <xf numFmtId="0" fontId="8" fillId="0" borderId="0" xfId="52" applyFont="1" applyAlignment="1">
      <alignment vertical="center"/>
    </xf>
    <xf numFmtId="0" fontId="9" fillId="0" borderId="0" xfId="51" applyFont="1" applyAlignment="1">
      <alignment horizontal="center" vertical="center" shrinkToFit="1"/>
    </xf>
    <xf numFmtId="49" fontId="10" fillId="0" borderId="0" xfId="49" applyNumberFormat="1" applyFont="1" applyAlignment="1">
      <alignment horizontal="left" vertical="center" wrapText="1"/>
    </xf>
    <xf numFmtId="0" fontId="11" fillId="0" borderId="0" xfId="52" applyFont="1">
      <alignment vertical="center"/>
    </xf>
    <xf numFmtId="0" fontId="12" fillId="0" borderId="0" xfId="52" applyFont="1">
      <alignment vertical="center"/>
    </xf>
    <xf numFmtId="0" fontId="10" fillId="0" borderId="0" xfId="49" applyFont="1" applyAlignment="1">
      <alignment horizontal="right" vertical="center"/>
    </xf>
    <xf numFmtId="14" fontId="10" fillId="0" borderId="0" xfId="49" applyNumberFormat="1" applyFont="1" applyAlignment="1">
      <alignment horizontal="left" vertical="center"/>
    </xf>
    <xf numFmtId="0" fontId="13" fillId="0" borderId="0" xfId="50" applyFont="1" applyAlignment="1">
      <alignment horizontal="center" vertical="center"/>
    </xf>
    <xf numFmtId="14" fontId="14" fillId="0" borderId="0" xfId="53" applyNumberFormat="1" applyFont="1" applyAlignment="1">
      <alignment horizontal="left" vertical="center"/>
    </xf>
    <xf numFmtId="0" fontId="15" fillId="0" borderId="0" xfId="52" applyFont="1" applyAlignment="1">
      <alignment horizontal="center" vertical="center"/>
    </xf>
    <xf numFmtId="0" fontId="16" fillId="0" borderId="0" xfId="49" applyFont="1" applyAlignment="1">
      <alignment horizontal="right" vertical="center"/>
    </xf>
    <xf numFmtId="49" fontId="17" fillId="0" borderId="0" xfId="52" applyNumberFormat="1" applyFont="1" applyAlignment="1">
      <alignment vertical="center" wrapText="1"/>
    </xf>
    <xf numFmtId="49" fontId="12" fillId="0" borderId="0" xfId="52" applyNumberFormat="1" applyFont="1" applyAlignment="1">
      <alignment horizontal="right" vertical="center"/>
    </xf>
    <xf numFmtId="0" fontId="6" fillId="0" borderId="0" xfId="52" applyFont="1" applyAlignment="1">
      <alignment vertical="center" wrapText="1"/>
    </xf>
    <xf numFmtId="177" fontId="10" fillId="0" borderId="0" xfId="50" applyNumberFormat="1" applyFont="1" applyAlignment="1">
      <alignment horizontal="right" vertical="center"/>
    </xf>
    <xf numFmtId="14" fontId="10" fillId="0" borderId="0" xfId="52" applyNumberFormat="1" applyFont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" xfId="49"/>
    <cellStyle name="Normal_GPRS PRICE SCHEDULE 20020529" xfId="50"/>
    <cellStyle name="Normal_SDSNET-3(e)_GPRS PRICE SCHEDULE 20020525" xfId="51"/>
    <cellStyle name="常规 2" xfId="52"/>
    <cellStyle name="常规_Cover" xfId="53"/>
    <cellStyle name="常规_NEPAL-86000-sw" xfId="54"/>
  </cellStyles>
  <tableStyles count="0" defaultTableStyle="TableStyleMedium2" defaultPivotStyle="PivotStyleMedium9"/>
  <colors>
    <mruColors>
      <color rgb="00808080"/>
      <color rgb="0000CCFF"/>
      <color rgb="00969696"/>
      <color rgb="00FFFFFF"/>
      <color rgb="00FFFF00"/>
      <color rgb="00FF0000"/>
      <color rgb="0000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585470</xdr:colOff>
      <xdr:row>9</xdr:row>
      <xdr:rowOff>467995</xdr:rowOff>
    </xdr:from>
    <xdr:to>
      <xdr:col>5</xdr:col>
      <xdr:colOff>725805</xdr:colOff>
      <xdr:row>10</xdr:row>
      <xdr:rowOff>427990</xdr:rowOff>
    </xdr:to>
    <xdr:pic>
      <xdr:nvPicPr>
        <xdr:cNvPr id="14214" name="Picture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4385" y="4888865"/>
          <a:ext cx="1329055" cy="467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585470</xdr:colOff>
      <xdr:row>9</xdr:row>
      <xdr:rowOff>467995</xdr:rowOff>
    </xdr:from>
    <xdr:to>
      <xdr:col>5</xdr:col>
      <xdr:colOff>725805</xdr:colOff>
      <xdr:row>10</xdr:row>
      <xdr:rowOff>427990</xdr:rowOff>
    </xdr:to>
    <xdr:pic>
      <xdr:nvPicPr>
        <xdr:cNvPr id="14215" name="Picture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4385" y="4888865"/>
          <a:ext cx="1329055" cy="467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801370</xdr:colOff>
      <xdr:row>1</xdr:row>
      <xdr:rowOff>143510</xdr:rowOff>
    </xdr:to>
    <xdr:pic>
      <xdr:nvPicPr>
        <xdr:cNvPr id="15553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28090" cy="436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://iconfig-chl.h3c.com/iconfig/api?method=helpDocumentDownload&amp;i=mOI)%252C*%2526&amp;fileId=helpDocument/3c5db340f45c46b28ab37620fc485b17_iConfig%20%E6%8A%A5%E4%BB%B7%E5%8D%95%E5%AE%A3%E4%BC%A0%EF%BC%88%E4%BA%8C%EF%BC%89.pptx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I11" sqref="I11"/>
    </sheetView>
  </sheetViews>
  <sheetFormatPr defaultColWidth="9" defaultRowHeight="39.95" customHeight="1"/>
  <cols>
    <col min="1" max="1" width="4.39423076923077" style="21" customWidth="1"/>
    <col min="2" max="5" width="9" style="22"/>
    <col min="6" max="6" width="23.3942307692308" style="22" customWidth="1"/>
    <col min="7" max="16384" width="9" style="22"/>
  </cols>
  <sheetData>
    <row r="1" ht="28.5" customHeight="1" spans="1:1">
      <c r="A1" s="21"/>
    </row>
    <row r="2" customHeight="1" spans="1:9">
      <c r="A2" s="23" t="s">
        <v>0</v>
      </c>
      <c r="B2" s="24"/>
      <c r="C2" s="24"/>
      <c r="D2" s="24"/>
      <c r="E2" s="24"/>
      <c r="F2" s="24"/>
      <c r="G2" s="24"/>
      <c r="H2" s="24"/>
      <c r="I2" s="24"/>
    </row>
    <row r="3" customHeight="1" spans="2:3">
      <c r="B3" s="25"/>
      <c r="C3" s="25"/>
    </row>
    <row r="4" customHeight="1" spans="3:7">
      <c r="C4" s="26"/>
      <c r="D4" s="27"/>
      <c r="E4" s="34" t="s">
        <v>1</v>
      </c>
      <c r="F4" s="35" t="s">
        <v>2</v>
      </c>
      <c r="G4" s="36"/>
    </row>
    <row r="5" customHeight="1" spans="3:6">
      <c r="C5" s="26"/>
      <c r="E5" s="34" t="s">
        <v>3</v>
      </c>
      <c r="F5" s="35" t="s">
        <v>4</v>
      </c>
    </row>
    <row r="6" customHeight="1" spans="6:6">
      <c r="F6" s="37"/>
    </row>
    <row r="7" customHeight="1" spans="3:6">
      <c r="C7" s="26"/>
      <c r="D7" s="28"/>
      <c r="E7" s="34" t="s">
        <v>5</v>
      </c>
      <c r="F7" s="35" t="s">
        <v>6</v>
      </c>
    </row>
    <row r="8" customHeight="1" spans="4:6">
      <c r="D8" s="28"/>
      <c r="E8" s="34" t="s">
        <v>3</v>
      </c>
      <c r="F8" s="35" t="s">
        <v>7</v>
      </c>
    </row>
    <row r="9" customHeight="1" spans="2:3">
      <c r="B9" s="29"/>
      <c r="C9" s="26"/>
    </row>
    <row r="11" customHeight="1" spans="2:3">
      <c r="B11" s="29"/>
      <c r="C11" s="30"/>
    </row>
    <row r="12" customHeight="1" spans="2:3">
      <c r="B12" s="29"/>
      <c r="C12" s="30"/>
    </row>
    <row r="13" customHeight="1" spans="1:9">
      <c r="A13" s="31" t="s">
        <v>8</v>
      </c>
      <c r="B13" s="21"/>
      <c r="C13" s="21"/>
      <c r="D13" s="21"/>
      <c r="E13" s="21"/>
      <c r="F13" s="21"/>
      <c r="G13" s="21"/>
      <c r="H13" s="21"/>
      <c r="I13" s="21"/>
    </row>
    <row r="14" customHeight="1" spans="3:6">
      <c r="C14" s="32"/>
      <c r="E14" s="38" t="s">
        <v>9</v>
      </c>
      <c r="F14" s="39">
        <f ca="1">TODAY()</f>
        <v>45905</v>
      </c>
    </row>
    <row r="16" ht="18" customHeight="1" spans="1:9">
      <c r="A16" s="33" t="s">
        <v>10</v>
      </c>
      <c r="B16" s="33"/>
      <c r="C16" s="33"/>
      <c r="D16" s="33"/>
      <c r="E16" s="33"/>
      <c r="F16" s="33"/>
      <c r="G16" s="33"/>
      <c r="H16" s="33"/>
      <c r="I16" s="33"/>
    </row>
  </sheetData>
  <mergeCells count="3">
    <mergeCell ref="A2:I2"/>
    <mergeCell ref="A13:I13"/>
    <mergeCell ref="A16:I16"/>
  </mergeCells>
  <printOptions horizontalCentered="1"/>
  <pageMargins left="0.551181102362205" right="0.393700787401575" top="0" bottom="0.78740157480315" header="0" footer="0.511811023622047"/>
  <pageSetup paperSize="9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6"/>
  <sheetViews>
    <sheetView tabSelected="1" zoomScaleSheetLayoutView="60" workbookViewId="0">
      <pane ySplit="5" topLeftCell="A7" activePane="bottomLeft" state="frozen"/>
      <selection/>
      <selection pane="bottomLeft" activeCell="H7" sqref="H7"/>
    </sheetView>
  </sheetViews>
  <sheetFormatPr defaultColWidth="9.23076923076923" defaultRowHeight="16.8"/>
  <cols>
    <col min="1" max="1" width="6.46153846153846" customWidth="1"/>
    <col min="2" max="2" width="14.1346153846154" customWidth="1"/>
    <col min="3" max="3" width="18.3942307692308" customWidth="1"/>
    <col min="4" max="4" width="49.4615384615385" customWidth="1"/>
    <col min="5" max="5" width="10.1346153846154" customWidth="1"/>
    <col min="6" max="6" width="12.5961538461538" style="1" customWidth="1"/>
    <col min="7" max="11" width="12.5961538461538" customWidth="1"/>
    <col min="12" max="14" width="19.8653846153846" customWidth="1"/>
  </cols>
  <sheetData>
    <row r="1" ht="23.1" customHeight="1" spans="4:4">
      <c r="D1" s="2" t="s">
        <v>11</v>
      </c>
    </row>
    <row r="2" ht="23.1" customHeight="1" spans="4:4">
      <c r="D2" s="2" t="s">
        <v>11</v>
      </c>
    </row>
    <row r="3" ht="29.25" customHeight="1" spans="1:14">
      <c r="A3" s="3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5"/>
    </row>
    <row r="4" ht="23" customHeight="1" spans="1:1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</row>
    <row r="5" ht="23" customHeight="1" spans="1:14">
      <c r="A5" s="5"/>
      <c r="B5" s="5"/>
      <c r="C5" s="5"/>
      <c r="D5" s="5"/>
      <c r="E5" s="5"/>
      <c r="F5" s="11"/>
      <c r="G5" s="5"/>
      <c r="H5" s="5"/>
      <c r="I5" s="5"/>
      <c r="J5" s="5"/>
      <c r="K5" s="5"/>
      <c r="L5" s="5"/>
      <c r="M5" s="5"/>
      <c r="N5" s="5"/>
    </row>
    <row r="6" ht="23" customHeight="1" spans="1:14">
      <c r="A6" s="6" t="s">
        <v>27</v>
      </c>
      <c r="B6" s="6" t="s">
        <v>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6"/>
    </row>
    <row r="7" ht="17.25" customHeight="1" spans="1:14">
      <c r="A7" s="7" t="s">
        <v>29</v>
      </c>
      <c r="B7" s="8" t="s">
        <v>30</v>
      </c>
      <c r="C7" s="8"/>
      <c r="D7" s="7"/>
      <c r="E7" s="12"/>
      <c r="F7" s="7"/>
      <c r="G7" s="7"/>
      <c r="J7" s="7"/>
      <c r="K7" s="7"/>
      <c r="L7" s="7"/>
      <c r="M7" s="7"/>
      <c r="N7" s="17"/>
    </row>
    <row r="8" ht="17.25" customHeight="1" spans="1:14">
      <c r="A8" s="7"/>
      <c r="B8" s="7" t="s">
        <v>31</v>
      </c>
      <c r="C8" s="7" t="s">
        <v>32</v>
      </c>
      <c r="D8" s="7" t="s">
        <v>33</v>
      </c>
      <c r="E8" s="12">
        <v>1</v>
      </c>
      <c r="F8" s="13">
        <v>0.167975808</v>
      </c>
      <c r="G8" s="7"/>
      <c r="H8" s="7"/>
      <c r="I8" s="7"/>
      <c r="J8" s="7">
        <v>21.95</v>
      </c>
      <c r="K8" s="7">
        <v>17.57</v>
      </c>
      <c r="L8" s="7" t="s">
        <v>34</v>
      </c>
      <c r="M8" s="7" t="s">
        <v>35</v>
      </c>
      <c r="N8" s="17" t="s">
        <v>36</v>
      </c>
    </row>
    <row r="9" ht="17.25" customHeight="1" spans="1:14">
      <c r="A9" s="7"/>
      <c r="B9" s="7" t="s">
        <v>37</v>
      </c>
      <c r="C9" s="7" t="s">
        <v>38</v>
      </c>
      <c r="D9" s="7" t="s">
        <v>39</v>
      </c>
      <c r="E9" s="12">
        <v>2</v>
      </c>
      <c r="F9" s="13"/>
      <c r="G9" s="7"/>
      <c r="H9" s="7"/>
      <c r="I9" s="7"/>
      <c r="J9" s="7">
        <v>0.15</v>
      </c>
      <c r="K9" s="7">
        <v>0.15</v>
      </c>
      <c r="L9" s="7" t="s">
        <v>11</v>
      </c>
      <c r="M9" s="7" t="s">
        <v>40</v>
      </c>
      <c r="N9" s="17" t="s">
        <v>41</v>
      </c>
    </row>
    <row r="10" ht="17.25" customHeight="1" spans="1:14">
      <c r="A10" s="7"/>
      <c r="B10" s="7" t="s">
        <v>42</v>
      </c>
      <c r="C10" s="7" t="s">
        <v>43</v>
      </c>
      <c r="D10" s="7" t="s">
        <v>44</v>
      </c>
      <c r="E10" s="12">
        <v>11</v>
      </c>
      <c r="F10" s="13"/>
      <c r="G10" s="7"/>
      <c r="H10" s="7"/>
      <c r="I10" s="7"/>
      <c r="J10" s="7">
        <v>0.05</v>
      </c>
      <c r="K10" s="7">
        <v>0.05</v>
      </c>
      <c r="L10" s="7" t="s">
        <v>11</v>
      </c>
      <c r="M10" s="7" t="s">
        <v>40</v>
      </c>
      <c r="N10" s="17" t="s">
        <v>45</v>
      </c>
    </row>
    <row r="11" ht="17.25" customHeight="1" spans="1:14">
      <c r="A11" s="7"/>
      <c r="B11" s="7" t="s">
        <v>46</v>
      </c>
      <c r="C11" s="7" t="s">
        <v>47</v>
      </c>
      <c r="D11" s="7" t="s">
        <v>48</v>
      </c>
      <c r="E11" s="12">
        <v>5</v>
      </c>
      <c r="F11" s="13"/>
      <c r="G11" s="7"/>
      <c r="H11" s="7"/>
      <c r="I11" s="7"/>
      <c r="J11" s="7">
        <v>0.01</v>
      </c>
      <c r="K11" s="7">
        <v>0.01</v>
      </c>
      <c r="L11" s="7" t="s">
        <v>11</v>
      </c>
      <c r="M11" s="7" t="s">
        <v>11</v>
      </c>
      <c r="N11" s="17" t="s">
        <v>11</v>
      </c>
    </row>
    <row r="12" ht="17.25" customHeight="1" spans="1:14">
      <c r="A12" s="7"/>
      <c r="B12" s="7" t="s">
        <v>49</v>
      </c>
      <c r="C12" s="7" t="s">
        <v>50</v>
      </c>
      <c r="D12" s="7" t="s">
        <v>51</v>
      </c>
      <c r="E12" s="12">
        <v>1</v>
      </c>
      <c r="F12" s="13"/>
      <c r="G12" s="7"/>
      <c r="H12" s="7"/>
      <c r="I12" s="7"/>
      <c r="J12" s="7">
        <v>0.1</v>
      </c>
      <c r="K12" s="7">
        <v>0.1</v>
      </c>
      <c r="L12" s="7" t="s">
        <v>11</v>
      </c>
      <c r="M12" s="7" t="s">
        <v>11</v>
      </c>
      <c r="N12" s="17" t="s">
        <v>52</v>
      </c>
    </row>
    <row r="13" ht="17.25" customHeight="1" spans="1:14">
      <c r="A13" s="7"/>
      <c r="B13" s="7" t="s">
        <v>53</v>
      </c>
      <c r="C13" s="7" t="s">
        <v>54</v>
      </c>
      <c r="D13" s="7" t="s">
        <v>55</v>
      </c>
      <c r="E13" s="12">
        <v>2</v>
      </c>
      <c r="F13" s="13"/>
      <c r="G13" s="7"/>
      <c r="H13" s="7"/>
      <c r="I13" s="7"/>
      <c r="J13" s="7">
        <v>0.09</v>
      </c>
      <c r="K13" s="7">
        <v>0.09</v>
      </c>
      <c r="L13" s="7" t="s">
        <v>11</v>
      </c>
      <c r="M13" s="7" t="s">
        <v>11</v>
      </c>
      <c r="N13" s="17" t="s">
        <v>11</v>
      </c>
    </row>
    <row r="14" ht="17.25" customHeight="1" spans="1:14">
      <c r="A14" s="7"/>
      <c r="B14" s="7" t="s">
        <v>56</v>
      </c>
      <c r="C14" s="7" t="s">
        <v>57</v>
      </c>
      <c r="D14" s="7" t="s">
        <v>58</v>
      </c>
      <c r="E14" s="12">
        <v>1</v>
      </c>
      <c r="F14" s="13"/>
      <c r="G14" s="7"/>
      <c r="H14" s="7"/>
      <c r="I14" s="7"/>
      <c r="J14" s="7">
        <v>0.35</v>
      </c>
      <c r="K14" s="7">
        <v>0.35</v>
      </c>
      <c r="L14" s="7" t="s">
        <v>11</v>
      </c>
      <c r="M14" s="7" t="s">
        <v>11</v>
      </c>
      <c r="N14" s="17" t="s">
        <v>52</v>
      </c>
    </row>
    <row r="15" ht="17.25" customHeight="1" spans="1:14">
      <c r="A15" s="7"/>
      <c r="B15" s="7" t="s">
        <v>59</v>
      </c>
      <c r="C15" s="7" t="s">
        <v>60</v>
      </c>
      <c r="D15" s="7" t="s">
        <v>61</v>
      </c>
      <c r="E15" s="12">
        <v>1</v>
      </c>
      <c r="F15" s="13"/>
      <c r="G15" s="7"/>
      <c r="H15" s="7"/>
      <c r="I15" s="7"/>
      <c r="J15" s="7">
        <v>0.11</v>
      </c>
      <c r="K15" s="7">
        <v>0.11</v>
      </c>
      <c r="L15" s="7" t="s">
        <v>11</v>
      </c>
      <c r="M15" s="7" t="s">
        <v>11</v>
      </c>
      <c r="N15" s="17" t="s">
        <v>11</v>
      </c>
    </row>
    <row r="16" ht="17.25" customHeight="1" spans="1:14">
      <c r="A16" s="7"/>
      <c r="B16" s="7" t="s">
        <v>62</v>
      </c>
      <c r="C16" s="7" t="s">
        <v>63</v>
      </c>
      <c r="D16" s="7" t="s">
        <v>64</v>
      </c>
      <c r="E16" s="12">
        <v>2</v>
      </c>
      <c r="F16" s="13"/>
      <c r="G16" s="7"/>
      <c r="H16" s="7"/>
      <c r="I16" s="7"/>
      <c r="J16" s="7">
        <v>0.11</v>
      </c>
      <c r="K16" s="7">
        <v>0.11</v>
      </c>
      <c r="L16" s="7" t="s">
        <v>11</v>
      </c>
      <c r="M16" s="7" t="s">
        <v>11</v>
      </c>
      <c r="N16" s="17" t="s">
        <v>11</v>
      </c>
    </row>
    <row r="17" ht="17.25" customHeight="1" spans="1:14">
      <c r="A17" s="7"/>
      <c r="B17" s="7" t="s">
        <v>65</v>
      </c>
      <c r="C17" s="7" t="s">
        <v>66</v>
      </c>
      <c r="D17" s="7" t="s">
        <v>67</v>
      </c>
      <c r="E17" s="12">
        <v>1</v>
      </c>
      <c r="F17" s="13"/>
      <c r="G17" s="7"/>
      <c r="H17" s="7"/>
      <c r="I17" s="7"/>
      <c r="J17" s="7">
        <v>0.1</v>
      </c>
      <c r="K17" s="7">
        <v>0.1</v>
      </c>
      <c r="L17" s="7" t="s">
        <v>11</v>
      </c>
      <c r="M17" s="7" t="s">
        <v>40</v>
      </c>
      <c r="N17" s="17" t="s">
        <v>68</v>
      </c>
    </row>
    <row r="18" ht="17.25" customHeight="1" spans="1:14">
      <c r="A18" s="7"/>
      <c r="B18" s="7" t="s">
        <v>69</v>
      </c>
      <c r="C18" s="7" t="s">
        <v>70</v>
      </c>
      <c r="D18" s="7" t="s">
        <v>71</v>
      </c>
      <c r="E18" s="12">
        <v>4</v>
      </c>
      <c r="F18" s="13"/>
      <c r="G18" s="7"/>
      <c r="H18" s="7"/>
      <c r="I18" s="7"/>
      <c r="J18" s="7">
        <v>0.03</v>
      </c>
      <c r="K18" s="7">
        <v>0.03</v>
      </c>
      <c r="L18" s="7" t="s">
        <v>11</v>
      </c>
      <c r="M18" s="7" t="s">
        <v>11</v>
      </c>
      <c r="N18" s="17" t="s">
        <v>72</v>
      </c>
    </row>
    <row r="19" ht="17.25" customHeight="1" spans="1:14">
      <c r="A19" s="7"/>
      <c r="B19" s="7" t="s">
        <v>73</v>
      </c>
      <c r="C19" s="7" t="s">
        <v>74</v>
      </c>
      <c r="D19" s="7" t="s">
        <v>75</v>
      </c>
      <c r="E19" s="12">
        <v>2</v>
      </c>
      <c r="F19" s="13"/>
      <c r="G19" s="7"/>
      <c r="H19" s="7"/>
      <c r="I19" s="7"/>
      <c r="J19" s="7">
        <v>1.33</v>
      </c>
      <c r="K19" s="7">
        <v>1.33</v>
      </c>
      <c r="L19" s="7" t="s">
        <v>11</v>
      </c>
      <c r="M19" s="7" t="s">
        <v>11</v>
      </c>
      <c r="N19" s="17" t="s">
        <v>11</v>
      </c>
    </row>
    <row r="20" ht="17.25" customHeight="1" spans="1:14">
      <c r="A20" s="7"/>
      <c r="B20" s="7" t="s">
        <v>76</v>
      </c>
      <c r="C20" s="7" t="s">
        <v>77</v>
      </c>
      <c r="D20" s="7" t="s">
        <v>78</v>
      </c>
      <c r="E20" s="12">
        <v>2</v>
      </c>
      <c r="F20" s="13"/>
      <c r="G20" s="7"/>
      <c r="H20" s="7"/>
      <c r="I20" s="7"/>
      <c r="J20" s="7">
        <v>0.18</v>
      </c>
      <c r="K20" s="7">
        <v>0.18</v>
      </c>
      <c r="L20" s="7" t="s">
        <v>11</v>
      </c>
      <c r="M20" s="7" t="s">
        <v>11</v>
      </c>
      <c r="N20" s="17" t="s">
        <v>11</v>
      </c>
    </row>
    <row r="21" ht="17.25" customHeight="1" spans="1:14">
      <c r="A21" s="7"/>
      <c r="B21" s="7" t="s">
        <v>79</v>
      </c>
      <c r="C21" s="7" t="s">
        <v>80</v>
      </c>
      <c r="D21" s="7" t="s">
        <v>81</v>
      </c>
      <c r="E21" s="12">
        <v>2</v>
      </c>
      <c r="F21" s="13"/>
      <c r="G21" s="7"/>
      <c r="H21" s="7"/>
      <c r="I21" s="7"/>
      <c r="J21" s="7">
        <v>0.01</v>
      </c>
      <c r="K21" s="7">
        <v>0.01</v>
      </c>
      <c r="L21" s="7" t="s">
        <v>11</v>
      </c>
      <c r="M21" s="7" t="s">
        <v>11</v>
      </c>
      <c r="N21" s="17" t="s">
        <v>11</v>
      </c>
    </row>
    <row r="22" ht="17.25" customHeight="1" spans="1:14">
      <c r="A22" s="7"/>
      <c r="B22" s="7" t="s">
        <v>82</v>
      </c>
      <c r="C22" s="7" t="s">
        <v>83</v>
      </c>
      <c r="D22" s="7" t="s">
        <v>84</v>
      </c>
      <c r="E22" s="12">
        <v>4</v>
      </c>
      <c r="F22" s="13"/>
      <c r="G22" s="7"/>
      <c r="H22" s="7"/>
      <c r="I22" s="7"/>
      <c r="J22" s="7">
        <v>0.3</v>
      </c>
      <c r="K22" s="7">
        <v>0.3</v>
      </c>
      <c r="L22" s="7" t="s">
        <v>11</v>
      </c>
      <c r="M22" s="7" t="s">
        <v>11</v>
      </c>
      <c r="N22" s="17" t="s">
        <v>85</v>
      </c>
    </row>
    <row r="23" ht="17.25" customHeight="1" spans="1:14">
      <c r="A23" s="7"/>
      <c r="B23" s="7" t="s">
        <v>86</v>
      </c>
      <c r="C23" s="7" t="s">
        <v>87</v>
      </c>
      <c r="D23" s="7" t="s">
        <v>88</v>
      </c>
      <c r="E23" s="12">
        <v>2</v>
      </c>
      <c r="F23" s="13"/>
      <c r="G23" s="7"/>
      <c r="H23" s="7"/>
      <c r="I23" s="7"/>
      <c r="J23" s="7">
        <v>0.65</v>
      </c>
      <c r="K23" s="7">
        <v>0.65</v>
      </c>
      <c r="L23" s="7" t="s">
        <v>11</v>
      </c>
      <c r="M23" s="7" t="s">
        <v>11</v>
      </c>
      <c r="N23" s="17" t="s">
        <v>11</v>
      </c>
    </row>
    <row r="24" ht="17.25" customHeight="1" spans="1:14">
      <c r="A24" s="7"/>
      <c r="B24" s="7" t="s">
        <v>89</v>
      </c>
      <c r="C24" s="7" t="s">
        <v>90</v>
      </c>
      <c r="D24" s="7" t="s">
        <v>91</v>
      </c>
      <c r="E24" s="12">
        <v>1</v>
      </c>
      <c r="F24" s="13"/>
      <c r="G24" s="7"/>
      <c r="H24" s="7"/>
      <c r="I24" s="7"/>
      <c r="J24" s="7">
        <v>0</v>
      </c>
      <c r="K24" s="7">
        <v>0</v>
      </c>
      <c r="L24" s="7" t="s">
        <v>11</v>
      </c>
      <c r="M24" s="7" t="s">
        <v>11</v>
      </c>
      <c r="N24" s="17" t="s">
        <v>11</v>
      </c>
    </row>
    <row r="25" ht="17.25" customHeight="1" spans="1:14">
      <c r="A25" s="7"/>
      <c r="B25" s="7" t="s">
        <v>92</v>
      </c>
      <c r="C25" s="7" t="s">
        <v>93</v>
      </c>
      <c r="D25" s="7" t="s">
        <v>94</v>
      </c>
      <c r="E25" s="12">
        <v>1</v>
      </c>
      <c r="F25" s="13"/>
      <c r="G25" s="7"/>
      <c r="H25" s="7"/>
      <c r="I25" s="7"/>
      <c r="J25" s="7">
        <v>0.08</v>
      </c>
      <c r="K25" s="7">
        <v>0.08</v>
      </c>
      <c r="L25" s="7" t="s">
        <v>11</v>
      </c>
      <c r="M25" s="7" t="s">
        <v>11</v>
      </c>
      <c r="N25" s="17" t="s">
        <v>68</v>
      </c>
    </row>
    <row r="26" ht="17.25" customHeight="1" spans="1:14">
      <c r="A26" s="7"/>
      <c r="B26" s="7" t="s">
        <v>95</v>
      </c>
      <c r="C26" s="7" t="s">
        <v>96</v>
      </c>
      <c r="D26" s="7" t="s">
        <v>97</v>
      </c>
      <c r="E26" s="12">
        <v>1</v>
      </c>
      <c r="F26" s="13"/>
      <c r="G26" s="7"/>
      <c r="H26" s="7"/>
      <c r="I26" s="7"/>
      <c r="J26" s="7">
        <v>0.35</v>
      </c>
      <c r="K26" s="7">
        <v>0.35</v>
      </c>
      <c r="L26" s="7" t="s">
        <v>11</v>
      </c>
      <c r="M26" s="7" t="s">
        <v>11</v>
      </c>
      <c r="N26" s="17" t="s">
        <v>68</v>
      </c>
    </row>
    <row r="27" ht="17.25" customHeight="1" spans="1:14">
      <c r="A27" s="7"/>
      <c r="B27" s="7" t="s">
        <v>98</v>
      </c>
      <c r="C27" s="7" t="s">
        <v>99</v>
      </c>
      <c r="D27" s="7" t="s">
        <v>100</v>
      </c>
      <c r="E27" s="12">
        <v>1</v>
      </c>
      <c r="F27" s="13"/>
      <c r="G27" s="7"/>
      <c r="H27" s="7"/>
      <c r="I27" s="7"/>
      <c r="J27" s="7">
        <v>6.1</v>
      </c>
      <c r="K27" s="7">
        <v>6.1</v>
      </c>
      <c r="L27" s="7" t="s">
        <v>11</v>
      </c>
      <c r="M27" s="7" t="s">
        <v>11</v>
      </c>
      <c r="N27" s="17" t="s">
        <v>101</v>
      </c>
    </row>
    <row r="28" ht="17.25" customHeight="1" spans="1:14">
      <c r="A28" s="7"/>
      <c r="B28" s="7" t="s">
        <v>102</v>
      </c>
      <c r="C28" s="7" t="s">
        <v>103</v>
      </c>
      <c r="D28" s="7" t="s">
        <v>104</v>
      </c>
      <c r="E28" s="12">
        <v>1</v>
      </c>
      <c r="F28" s="13"/>
      <c r="G28" s="7"/>
      <c r="H28" s="7"/>
      <c r="I28" s="7"/>
      <c r="J28" s="7">
        <v>0.01</v>
      </c>
      <c r="K28" s="7">
        <v>0.01</v>
      </c>
      <c r="L28" s="7" t="s">
        <v>11</v>
      </c>
      <c r="M28" s="7" t="s">
        <v>11</v>
      </c>
      <c r="N28" s="17" t="s">
        <v>11</v>
      </c>
    </row>
    <row r="29" ht="17.25" customHeight="1" spans="1:14">
      <c r="A29" s="7"/>
      <c r="B29" s="7" t="s">
        <v>105</v>
      </c>
      <c r="C29" s="7" t="s">
        <v>106</v>
      </c>
      <c r="D29" s="7" t="s">
        <v>107</v>
      </c>
      <c r="E29" s="12">
        <v>1</v>
      </c>
      <c r="F29" s="13"/>
      <c r="G29" s="7"/>
      <c r="H29" s="7"/>
      <c r="I29" s="7"/>
      <c r="J29" s="7">
        <v>0.03</v>
      </c>
      <c r="K29" s="7">
        <v>0.03</v>
      </c>
      <c r="L29" s="7" t="s">
        <v>11</v>
      </c>
      <c r="M29" s="7" t="s">
        <v>11</v>
      </c>
      <c r="N29" s="17" t="s">
        <v>11</v>
      </c>
    </row>
    <row r="30" ht="17.25" customHeight="1" spans="1:14">
      <c r="A30" s="7"/>
      <c r="B30" s="7" t="s">
        <v>108</v>
      </c>
      <c r="C30" s="7" t="s">
        <v>109</v>
      </c>
      <c r="D30" s="7" t="s">
        <v>110</v>
      </c>
      <c r="E30" s="12">
        <v>1</v>
      </c>
      <c r="F30" s="13"/>
      <c r="G30" s="7"/>
      <c r="H30" s="7"/>
      <c r="I30" s="7"/>
      <c r="J30" s="7">
        <v>0.026</v>
      </c>
      <c r="K30" s="7">
        <v>0.026</v>
      </c>
      <c r="L30" s="7" t="s">
        <v>11</v>
      </c>
      <c r="M30" s="7" t="s">
        <v>11</v>
      </c>
      <c r="N30" s="17" t="s">
        <v>11</v>
      </c>
    </row>
    <row r="31" ht="17.25" customHeight="1" spans="1:14">
      <c r="A31" s="7"/>
      <c r="B31" s="7" t="s">
        <v>111</v>
      </c>
      <c r="C31" s="7" t="s">
        <v>112</v>
      </c>
      <c r="D31" s="7" t="s">
        <v>113</v>
      </c>
      <c r="E31" s="12">
        <v>1</v>
      </c>
      <c r="F31" s="13"/>
      <c r="G31" s="7"/>
      <c r="H31" s="7"/>
      <c r="I31" s="7"/>
      <c r="J31" s="7">
        <v>0.06</v>
      </c>
      <c r="K31" s="7">
        <v>0.06</v>
      </c>
      <c r="L31" s="7" t="s">
        <v>11</v>
      </c>
      <c r="M31" s="7" t="s">
        <v>11</v>
      </c>
      <c r="N31" s="17" t="s">
        <v>11</v>
      </c>
    </row>
    <row r="32" ht="17.25" customHeight="1" spans="1:14">
      <c r="A32" s="7"/>
      <c r="B32" s="7" t="s">
        <v>114</v>
      </c>
      <c r="C32" s="7" t="s">
        <v>115</v>
      </c>
      <c r="D32" s="7" t="s">
        <v>116</v>
      </c>
      <c r="E32" s="12">
        <v>1</v>
      </c>
      <c r="F32" s="13"/>
      <c r="G32" s="7"/>
      <c r="H32" s="7"/>
      <c r="I32" s="7"/>
      <c r="J32" s="7">
        <v>0.02</v>
      </c>
      <c r="K32" s="7">
        <v>0.02</v>
      </c>
      <c r="L32" s="7" t="s">
        <v>11</v>
      </c>
      <c r="M32" s="7" t="s">
        <v>11</v>
      </c>
      <c r="N32" s="17" t="s">
        <v>11</v>
      </c>
    </row>
    <row r="33" ht="17.25" customHeight="1" spans="1:14">
      <c r="A33" s="7"/>
      <c r="B33" s="7" t="s">
        <v>117</v>
      </c>
      <c r="C33" s="7" t="s">
        <v>118</v>
      </c>
      <c r="D33" s="7" t="s">
        <v>119</v>
      </c>
      <c r="E33" s="12">
        <v>1</v>
      </c>
      <c r="F33" s="7"/>
      <c r="G33" s="7"/>
      <c r="H33" s="7"/>
      <c r="I33" s="7"/>
      <c r="J33" s="7"/>
      <c r="K33" s="7"/>
      <c r="L33" s="7"/>
      <c r="M33" s="7"/>
      <c r="N33" s="17"/>
    </row>
    <row r="34" ht="17.25" customHeight="1" spans="1:14">
      <c r="A34" s="9"/>
      <c r="B34" s="9" t="s">
        <v>30</v>
      </c>
      <c r="C34" s="9"/>
      <c r="D34" s="10" t="s">
        <v>120</v>
      </c>
      <c r="E34" s="14">
        <v>1</v>
      </c>
      <c r="F34" s="9">
        <f>SUMPRODUCT(F8:F33*E8:E33)</f>
        <v>0.167975808</v>
      </c>
      <c r="G34" s="10" t="s">
        <v>121</v>
      </c>
      <c r="H34" s="10" t="s">
        <v>121</v>
      </c>
      <c r="I34" s="10" t="s">
        <v>121</v>
      </c>
      <c r="J34" s="9">
        <f>SUMPRODUCT(J8:J33*E8:E33)</f>
        <v>36.246</v>
      </c>
      <c r="K34" s="9">
        <f>SUMPRODUCT(K8:K33*E8:E33)</f>
        <v>31.866</v>
      </c>
      <c r="L34" s="9"/>
      <c r="M34" s="9"/>
      <c r="N34" s="18"/>
    </row>
    <row r="35" ht="17.25" customHeight="1" spans="1:14">
      <c r="A35" s="9"/>
      <c r="B35" s="9" t="s">
        <v>122</v>
      </c>
      <c r="C35" s="9" t="s">
        <v>30</v>
      </c>
      <c r="D35" s="10" t="s">
        <v>17</v>
      </c>
      <c r="E35" s="14">
        <v>12</v>
      </c>
      <c r="F35" s="9">
        <f>E35*SUMPRODUCT(F8:F33*E8:E33)</f>
        <v>2.015709696</v>
      </c>
      <c r="G35" s="10">
        <v>0</v>
      </c>
      <c r="H35" s="10">
        <v>0</v>
      </c>
      <c r="I35" s="10">
        <v>0</v>
      </c>
      <c r="J35" s="9">
        <f>E35*SUMPRODUCT(J8:J33*E8:E33)</f>
        <v>434.952</v>
      </c>
      <c r="K35" s="9">
        <f>E35*SUMPRODUCT(K8:K33*E8:E33)</f>
        <v>382.392</v>
      </c>
      <c r="L35" s="9"/>
      <c r="M35" s="9"/>
      <c r="N35" s="18"/>
    </row>
    <row r="36" ht="17.25" customHeight="1" spans="1:14">
      <c r="A36" s="9"/>
      <c r="B36" s="9" t="s">
        <v>123</v>
      </c>
      <c r="C36" s="9" t="s">
        <v>28</v>
      </c>
      <c r="D36" s="9"/>
      <c r="E36" s="14"/>
      <c r="F36" s="9"/>
      <c r="G36" s="9">
        <f>G35</f>
        <v>0</v>
      </c>
      <c r="H36" s="9">
        <f>H35</f>
        <v>0</v>
      </c>
      <c r="I36" s="9">
        <f>I35</f>
        <v>0</v>
      </c>
      <c r="J36" s="9">
        <f>J35</f>
        <v>434.952</v>
      </c>
      <c r="K36" s="9">
        <f>K35</f>
        <v>382.392</v>
      </c>
      <c r="L36" s="9"/>
      <c r="M36" s="9"/>
      <c r="N36" s="19"/>
    </row>
    <row r="37" ht="23" customHeight="1" spans="1:14">
      <c r="A37" s="6" t="s">
        <v>124</v>
      </c>
      <c r="B37" s="6" t="s">
        <v>125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6"/>
    </row>
    <row r="38" ht="17.25" customHeight="1" spans="1:14">
      <c r="A38" s="7" t="s">
        <v>126</v>
      </c>
      <c r="B38" s="8" t="s">
        <v>127</v>
      </c>
      <c r="C38" s="8"/>
      <c r="D38" s="7"/>
      <c r="E38" s="12"/>
      <c r="F38" s="7"/>
      <c r="G38" s="7"/>
      <c r="J38" s="7"/>
      <c r="K38" s="7"/>
      <c r="L38" s="7"/>
      <c r="M38" s="7"/>
      <c r="N38" s="17"/>
    </row>
    <row r="39" ht="17.25" customHeight="1" spans="1:14">
      <c r="A39" s="7"/>
      <c r="B39" s="7" t="s">
        <v>128</v>
      </c>
      <c r="C39" s="7" t="s">
        <v>129</v>
      </c>
      <c r="D39" s="7" t="s">
        <v>130</v>
      </c>
      <c r="E39" s="12">
        <v>1</v>
      </c>
      <c r="F39" s="13">
        <v>0.2189592</v>
      </c>
      <c r="G39" s="7"/>
      <c r="H39" s="7"/>
      <c r="I39" s="7"/>
      <c r="J39" s="7">
        <v>39.8</v>
      </c>
      <c r="K39" s="7">
        <v>33.15</v>
      </c>
      <c r="L39" s="7" t="s">
        <v>40</v>
      </c>
      <c r="M39" s="7" t="s">
        <v>40</v>
      </c>
      <c r="N39" s="17" t="s">
        <v>131</v>
      </c>
    </row>
    <row r="40" ht="17.25" customHeight="1" spans="1:14">
      <c r="A40" s="7"/>
      <c r="B40" s="7" t="s">
        <v>132</v>
      </c>
      <c r="C40" s="7" t="s">
        <v>133</v>
      </c>
      <c r="D40" s="7" t="s">
        <v>134</v>
      </c>
      <c r="E40" s="12">
        <v>8</v>
      </c>
      <c r="F40" s="13"/>
      <c r="G40" s="7"/>
      <c r="H40" s="7"/>
      <c r="I40" s="7"/>
      <c r="J40" s="7">
        <v>0.02</v>
      </c>
      <c r="K40" s="7">
        <v>0.02</v>
      </c>
      <c r="L40" s="7" t="s">
        <v>11</v>
      </c>
      <c r="M40" s="7" t="s">
        <v>11</v>
      </c>
      <c r="N40" s="17" t="s">
        <v>45</v>
      </c>
    </row>
    <row r="41" ht="17.25" customHeight="1" spans="1:14">
      <c r="A41" s="7"/>
      <c r="B41" s="7" t="s">
        <v>135</v>
      </c>
      <c r="C41" s="7" t="s">
        <v>136</v>
      </c>
      <c r="D41" s="7" t="s">
        <v>137</v>
      </c>
      <c r="E41" s="12">
        <v>2</v>
      </c>
      <c r="F41" s="13"/>
      <c r="G41" s="7"/>
      <c r="H41" s="7"/>
      <c r="I41" s="7"/>
      <c r="J41" s="7">
        <v>0.3</v>
      </c>
      <c r="K41" s="7">
        <v>0.3</v>
      </c>
      <c r="L41" s="7" t="s">
        <v>11</v>
      </c>
      <c r="M41" s="7" t="s">
        <v>11</v>
      </c>
      <c r="N41" s="17" t="s">
        <v>138</v>
      </c>
    </row>
    <row r="42" ht="17.25" customHeight="1" spans="1:14">
      <c r="A42" s="7"/>
      <c r="B42" s="7" t="s">
        <v>139</v>
      </c>
      <c r="C42" s="7" t="s">
        <v>140</v>
      </c>
      <c r="D42" s="7" t="s">
        <v>141</v>
      </c>
      <c r="E42" s="12">
        <v>1</v>
      </c>
      <c r="F42" s="13"/>
      <c r="G42" s="7"/>
      <c r="H42" s="7"/>
      <c r="I42" s="7"/>
      <c r="J42" s="7">
        <v>0.35</v>
      </c>
      <c r="K42" s="7">
        <v>0.35</v>
      </c>
      <c r="L42" s="7" t="s">
        <v>11</v>
      </c>
      <c r="M42" s="7" t="s">
        <v>40</v>
      </c>
      <c r="N42" s="17" t="s">
        <v>142</v>
      </c>
    </row>
    <row r="43" ht="17.25" customHeight="1" spans="1:14">
      <c r="A43" s="7"/>
      <c r="B43" s="7" t="s">
        <v>143</v>
      </c>
      <c r="C43" s="7" t="s">
        <v>144</v>
      </c>
      <c r="D43" s="7" t="s">
        <v>145</v>
      </c>
      <c r="E43" s="12">
        <v>1</v>
      </c>
      <c r="F43" s="13"/>
      <c r="G43" s="7"/>
      <c r="H43" s="7"/>
      <c r="I43" s="7"/>
      <c r="J43" s="7">
        <v>0.15</v>
      </c>
      <c r="K43" s="7">
        <v>0.15</v>
      </c>
      <c r="L43" s="7" t="s">
        <v>11</v>
      </c>
      <c r="M43" s="7" t="s">
        <v>11</v>
      </c>
      <c r="N43" s="17" t="s">
        <v>146</v>
      </c>
    </row>
    <row r="44" ht="17.25" customHeight="1" spans="1:14">
      <c r="A44" s="7"/>
      <c r="B44" s="7" t="s">
        <v>147</v>
      </c>
      <c r="C44" s="7" t="s">
        <v>148</v>
      </c>
      <c r="D44" s="7" t="s">
        <v>149</v>
      </c>
      <c r="E44" s="12">
        <v>1</v>
      </c>
      <c r="F44" s="13"/>
      <c r="G44" s="7"/>
      <c r="H44" s="7"/>
      <c r="I44" s="7"/>
      <c r="J44" s="7">
        <v>0.15</v>
      </c>
      <c r="K44" s="7">
        <v>0.15</v>
      </c>
      <c r="L44" s="7" t="s">
        <v>11</v>
      </c>
      <c r="M44" s="7" t="s">
        <v>11</v>
      </c>
      <c r="N44" s="17" t="s">
        <v>146</v>
      </c>
    </row>
    <row r="45" ht="17.25" customHeight="1" spans="1:14">
      <c r="A45" s="7"/>
      <c r="B45" s="7" t="s">
        <v>150</v>
      </c>
      <c r="C45" s="7" t="s">
        <v>151</v>
      </c>
      <c r="D45" s="7" t="s">
        <v>152</v>
      </c>
      <c r="E45" s="12">
        <v>1</v>
      </c>
      <c r="F45" s="13"/>
      <c r="G45" s="7"/>
      <c r="H45" s="7"/>
      <c r="I45" s="7"/>
      <c r="J45" s="7">
        <v>0.18</v>
      </c>
      <c r="K45" s="7">
        <v>0.18</v>
      </c>
      <c r="L45" s="7" t="s">
        <v>11</v>
      </c>
      <c r="M45" s="7" t="s">
        <v>11</v>
      </c>
      <c r="N45" s="17" t="s">
        <v>11</v>
      </c>
    </row>
    <row r="46" ht="17.25" customHeight="1" spans="1:14">
      <c r="A46" s="7"/>
      <c r="B46" s="7" t="s">
        <v>153</v>
      </c>
      <c r="C46" s="7" t="s">
        <v>154</v>
      </c>
      <c r="D46" s="7" t="s">
        <v>155</v>
      </c>
      <c r="E46" s="12">
        <v>2</v>
      </c>
      <c r="F46" s="13"/>
      <c r="G46" s="7"/>
      <c r="H46" s="7"/>
      <c r="I46" s="7"/>
      <c r="J46" s="7">
        <v>0.12</v>
      </c>
      <c r="K46" s="7">
        <v>0.12</v>
      </c>
      <c r="L46" s="7" t="s">
        <v>11</v>
      </c>
      <c r="M46" s="7" t="s">
        <v>11</v>
      </c>
      <c r="N46" s="17" t="s">
        <v>11</v>
      </c>
    </row>
    <row r="47" ht="17.25" customHeight="1" spans="1:14">
      <c r="A47" s="7"/>
      <c r="B47" s="7" t="s">
        <v>156</v>
      </c>
      <c r="C47" s="7" t="s">
        <v>157</v>
      </c>
      <c r="D47" s="7" t="s">
        <v>158</v>
      </c>
      <c r="E47" s="12">
        <v>2</v>
      </c>
      <c r="F47" s="13"/>
      <c r="G47" s="7"/>
      <c r="H47" s="7"/>
      <c r="I47" s="7"/>
      <c r="J47" s="7">
        <v>0.8</v>
      </c>
      <c r="K47" s="7">
        <v>0.8</v>
      </c>
      <c r="L47" s="7" t="s">
        <v>11</v>
      </c>
      <c r="M47" s="7" t="s">
        <v>11</v>
      </c>
      <c r="N47" s="17" t="s">
        <v>68</v>
      </c>
    </row>
    <row r="48" ht="17.25" customHeight="1" spans="1:14">
      <c r="A48" s="7"/>
      <c r="B48" s="7" t="s">
        <v>159</v>
      </c>
      <c r="C48" s="7" t="s">
        <v>160</v>
      </c>
      <c r="D48" s="7" t="s">
        <v>161</v>
      </c>
      <c r="E48" s="12">
        <v>1</v>
      </c>
      <c r="F48" s="13"/>
      <c r="G48" s="7"/>
      <c r="H48" s="7"/>
      <c r="I48" s="7"/>
      <c r="J48" s="7">
        <v>1.72</v>
      </c>
      <c r="K48" s="7">
        <v>1.72</v>
      </c>
      <c r="L48" s="7" t="s">
        <v>11</v>
      </c>
      <c r="M48" s="7" t="s">
        <v>11</v>
      </c>
      <c r="N48" s="17" t="s">
        <v>11</v>
      </c>
    </row>
    <row r="49" ht="17.25" customHeight="1" spans="1:14">
      <c r="A49" s="7"/>
      <c r="B49" s="7" t="s">
        <v>162</v>
      </c>
      <c r="C49" s="7" t="s">
        <v>163</v>
      </c>
      <c r="D49" s="7" t="s">
        <v>164</v>
      </c>
      <c r="E49" s="12">
        <v>2</v>
      </c>
      <c r="F49" s="13"/>
      <c r="G49" s="7"/>
      <c r="H49" s="7"/>
      <c r="I49" s="7"/>
      <c r="J49" s="7">
        <v>0.08</v>
      </c>
      <c r="K49" s="7">
        <v>0.08</v>
      </c>
      <c r="L49" s="7" t="s">
        <v>11</v>
      </c>
      <c r="M49" s="7" t="s">
        <v>11</v>
      </c>
      <c r="N49" s="17" t="s">
        <v>11</v>
      </c>
    </row>
    <row r="50" ht="17.25" customHeight="1" spans="1:14">
      <c r="A50" s="7"/>
      <c r="B50" s="7" t="s">
        <v>117</v>
      </c>
      <c r="C50" s="7" t="s">
        <v>118</v>
      </c>
      <c r="D50" s="7" t="s">
        <v>119</v>
      </c>
      <c r="E50" s="12">
        <v>1</v>
      </c>
      <c r="F50" s="7"/>
      <c r="G50" s="7"/>
      <c r="H50" s="7"/>
      <c r="I50" s="7"/>
      <c r="J50" s="7"/>
      <c r="K50" s="7"/>
      <c r="L50" s="7"/>
      <c r="M50" s="7"/>
      <c r="N50" s="17"/>
    </row>
    <row r="51" ht="17.25" customHeight="1" spans="1:14">
      <c r="A51" s="9"/>
      <c r="B51" s="9" t="s">
        <v>127</v>
      </c>
      <c r="C51" s="9"/>
      <c r="D51" s="10" t="s">
        <v>120</v>
      </c>
      <c r="E51" s="14">
        <v>1</v>
      </c>
      <c r="F51" s="9">
        <f>SUMPRODUCT(F39:F50*E39:E50)</f>
        <v>0.2189592</v>
      </c>
      <c r="G51" s="10" t="s">
        <v>121</v>
      </c>
      <c r="H51" s="10" t="s">
        <v>121</v>
      </c>
      <c r="I51" s="10" t="s">
        <v>121</v>
      </c>
      <c r="J51" s="9">
        <f>SUMPRODUCT(J39:J50*E39:E50)</f>
        <v>45.11</v>
      </c>
      <c r="K51" s="9">
        <f>SUMPRODUCT(K39:K50*E39:E50)</f>
        <v>38.46</v>
      </c>
      <c r="L51" s="9"/>
      <c r="M51" s="9"/>
      <c r="N51" s="18"/>
    </row>
    <row r="52" ht="17.25" customHeight="1" spans="1:14">
      <c r="A52" s="9"/>
      <c r="B52" s="9" t="s">
        <v>122</v>
      </c>
      <c r="C52" s="9" t="s">
        <v>127</v>
      </c>
      <c r="D52" s="10" t="s">
        <v>17</v>
      </c>
      <c r="E52" s="14">
        <v>4</v>
      </c>
      <c r="F52" s="9">
        <f>E52*SUMPRODUCT(F39:F50*E39:E50)</f>
        <v>0.8758368</v>
      </c>
      <c r="G52" s="10">
        <v>0</v>
      </c>
      <c r="H52" s="10">
        <v>0</v>
      </c>
      <c r="I52" s="10">
        <v>0</v>
      </c>
      <c r="J52" s="9">
        <f>E52*SUMPRODUCT(J39:J50*E39:E50)</f>
        <v>180.44</v>
      </c>
      <c r="K52" s="9">
        <f>E52*SUMPRODUCT(K39:K50*E39:E50)</f>
        <v>153.84</v>
      </c>
      <c r="L52" s="9"/>
      <c r="M52" s="9"/>
      <c r="N52" s="18"/>
    </row>
    <row r="53" ht="17.25" customHeight="1" spans="1:14">
      <c r="A53" s="9"/>
      <c r="B53" s="9" t="s">
        <v>123</v>
      </c>
      <c r="C53" s="9" t="s">
        <v>125</v>
      </c>
      <c r="D53" s="9"/>
      <c r="E53" s="14"/>
      <c r="F53" s="9"/>
      <c r="G53" s="9">
        <f>G52</f>
        <v>0</v>
      </c>
      <c r="H53" s="9">
        <f>H52</f>
        <v>0</v>
      </c>
      <c r="I53" s="9">
        <f>I52</f>
        <v>0</v>
      </c>
      <c r="J53" s="9">
        <f>J52</f>
        <v>180.44</v>
      </c>
      <c r="K53" s="9">
        <f>K52</f>
        <v>153.84</v>
      </c>
      <c r="L53" s="9"/>
      <c r="M53" s="9"/>
      <c r="N53" s="19"/>
    </row>
    <row r="54" ht="23" customHeight="1" spans="1:14">
      <c r="A54" s="6" t="s">
        <v>165</v>
      </c>
      <c r="B54" s="6" t="s">
        <v>166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16"/>
    </row>
    <row r="55" ht="17.25" customHeight="1" spans="1:14">
      <c r="A55" s="7" t="s">
        <v>167</v>
      </c>
      <c r="B55" s="8" t="s">
        <v>168</v>
      </c>
      <c r="C55" s="8"/>
      <c r="D55" s="7"/>
      <c r="E55" s="12"/>
      <c r="F55" s="7"/>
      <c r="G55" s="7"/>
      <c r="J55" s="7"/>
      <c r="K55" s="7"/>
      <c r="L55" s="7"/>
      <c r="M55" s="7"/>
      <c r="N55" s="17"/>
    </row>
    <row r="56" ht="17.25" customHeight="1" spans="1:14">
      <c r="A56" s="7"/>
      <c r="B56" s="7" t="s">
        <v>169</v>
      </c>
      <c r="C56" s="7" t="s">
        <v>170</v>
      </c>
      <c r="D56" s="7" t="s">
        <v>171</v>
      </c>
      <c r="E56" s="12">
        <v>1</v>
      </c>
      <c r="F56" s="13">
        <v>0.478952</v>
      </c>
      <c r="G56" s="7"/>
      <c r="H56" s="7"/>
      <c r="I56" s="7"/>
      <c r="J56" s="7">
        <v>34.85</v>
      </c>
      <c r="K56" s="7">
        <v>17.917</v>
      </c>
      <c r="L56" s="7" t="s">
        <v>172</v>
      </c>
      <c r="M56" s="7" t="s">
        <v>173</v>
      </c>
      <c r="N56" s="17" t="s">
        <v>174</v>
      </c>
    </row>
    <row r="57" ht="17.25" customHeight="1" spans="1:14">
      <c r="A57" s="7"/>
      <c r="B57" s="7" t="s">
        <v>37</v>
      </c>
      <c r="C57" s="7" t="s">
        <v>38</v>
      </c>
      <c r="D57" s="7" t="s">
        <v>39</v>
      </c>
      <c r="E57" s="12">
        <v>2</v>
      </c>
      <c r="F57" s="13"/>
      <c r="G57" s="7"/>
      <c r="H57" s="7"/>
      <c r="I57" s="7"/>
      <c r="J57" s="7">
        <v>0.15</v>
      </c>
      <c r="K57" s="7">
        <v>0.15</v>
      </c>
      <c r="L57" s="7" t="s">
        <v>11</v>
      </c>
      <c r="M57" s="7" t="s">
        <v>40</v>
      </c>
      <c r="N57" s="17" t="s">
        <v>41</v>
      </c>
    </row>
    <row r="58" ht="17.25" customHeight="1" spans="1:14">
      <c r="A58" s="7"/>
      <c r="B58" s="7" t="s">
        <v>42</v>
      </c>
      <c r="C58" s="7" t="s">
        <v>43</v>
      </c>
      <c r="D58" s="7" t="s">
        <v>44</v>
      </c>
      <c r="E58" s="12">
        <v>24</v>
      </c>
      <c r="F58" s="13"/>
      <c r="G58" s="7"/>
      <c r="H58" s="7"/>
      <c r="I58" s="7"/>
      <c r="J58" s="7">
        <v>0.05</v>
      </c>
      <c r="K58" s="7">
        <v>0.05</v>
      </c>
      <c r="L58" s="7" t="s">
        <v>11</v>
      </c>
      <c r="M58" s="7" t="s">
        <v>40</v>
      </c>
      <c r="N58" s="17" t="s">
        <v>45</v>
      </c>
    </row>
    <row r="59" ht="17.25" customHeight="1" spans="1:14">
      <c r="A59" s="7"/>
      <c r="B59" s="7" t="s">
        <v>46</v>
      </c>
      <c r="C59" s="7" t="s">
        <v>47</v>
      </c>
      <c r="D59" s="7" t="s">
        <v>48</v>
      </c>
      <c r="E59" s="12">
        <v>8</v>
      </c>
      <c r="F59" s="13"/>
      <c r="G59" s="7"/>
      <c r="H59" s="7"/>
      <c r="I59" s="7"/>
      <c r="J59" s="7">
        <v>0.01</v>
      </c>
      <c r="K59" s="7">
        <v>0.01</v>
      </c>
      <c r="L59" s="7" t="s">
        <v>11</v>
      </c>
      <c r="M59" s="7" t="s">
        <v>11</v>
      </c>
      <c r="N59" s="17" t="s">
        <v>11</v>
      </c>
    </row>
    <row r="60" ht="17.25" customHeight="1" spans="1:14">
      <c r="A60" s="7"/>
      <c r="B60" s="7" t="s">
        <v>175</v>
      </c>
      <c r="C60" s="7" t="s">
        <v>176</v>
      </c>
      <c r="D60" s="7" t="s">
        <v>177</v>
      </c>
      <c r="E60" s="12">
        <v>1</v>
      </c>
      <c r="F60" s="13"/>
      <c r="G60" s="7"/>
      <c r="H60" s="7"/>
      <c r="I60" s="7"/>
      <c r="J60" s="7">
        <v>0.849</v>
      </c>
      <c r="K60" s="7">
        <v>0.849</v>
      </c>
      <c r="L60" s="7" t="s">
        <v>11</v>
      </c>
      <c r="M60" s="7" t="s">
        <v>11</v>
      </c>
      <c r="N60" s="17" t="s">
        <v>11</v>
      </c>
    </row>
    <row r="61" ht="17.25" customHeight="1" spans="1:14">
      <c r="A61" s="7"/>
      <c r="B61" s="7" t="s">
        <v>178</v>
      </c>
      <c r="C61" s="7" t="s">
        <v>179</v>
      </c>
      <c r="D61" s="7" t="s">
        <v>180</v>
      </c>
      <c r="E61" s="12">
        <v>1</v>
      </c>
      <c r="F61" s="13"/>
      <c r="G61" s="7"/>
      <c r="H61" s="7"/>
      <c r="I61" s="7"/>
      <c r="J61" s="7">
        <v>0.87</v>
      </c>
      <c r="K61" s="7">
        <v>0.87</v>
      </c>
      <c r="L61" s="7" t="s">
        <v>11</v>
      </c>
      <c r="M61" s="7" t="s">
        <v>40</v>
      </c>
      <c r="N61" s="17" t="s">
        <v>181</v>
      </c>
    </row>
    <row r="62" ht="17.25" customHeight="1" spans="1:14">
      <c r="A62" s="7"/>
      <c r="B62" s="7" t="s">
        <v>182</v>
      </c>
      <c r="C62" s="7" t="s">
        <v>183</v>
      </c>
      <c r="D62" s="7" t="s">
        <v>184</v>
      </c>
      <c r="E62" s="12">
        <v>2</v>
      </c>
      <c r="F62" s="13"/>
      <c r="G62" s="7"/>
      <c r="H62" s="7"/>
      <c r="I62" s="7"/>
      <c r="J62" s="7">
        <v>0.04</v>
      </c>
      <c r="K62" s="7">
        <v>0.04</v>
      </c>
      <c r="L62" s="7" t="s">
        <v>11</v>
      </c>
      <c r="M62" s="7" t="s">
        <v>11</v>
      </c>
      <c r="N62" s="17" t="s">
        <v>45</v>
      </c>
    </row>
    <row r="63" ht="17.25" customHeight="1" spans="1:14">
      <c r="A63" s="7"/>
      <c r="B63" s="7" t="s">
        <v>185</v>
      </c>
      <c r="C63" s="7" t="s">
        <v>186</v>
      </c>
      <c r="D63" s="7" t="s">
        <v>187</v>
      </c>
      <c r="E63" s="12">
        <v>5</v>
      </c>
      <c r="F63" s="13"/>
      <c r="G63" s="7"/>
      <c r="H63" s="7"/>
      <c r="I63" s="7"/>
      <c r="J63" s="7">
        <v>1.03</v>
      </c>
      <c r="K63" s="7">
        <v>1.03</v>
      </c>
      <c r="L63" s="7" t="s">
        <v>11</v>
      </c>
      <c r="M63" s="7" t="s">
        <v>40</v>
      </c>
      <c r="N63" s="17" t="s">
        <v>188</v>
      </c>
    </row>
    <row r="64" ht="17.25" customHeight="1" spans="1:14">
      <c r="A64" s="7"/>
      <c r="B64" s="7" t="s">
        <v>62</v>
      </c>
      <c r="C64" s="7" t="s">
        <v>63</v>
      </c>
      <c r="D64" s="7" t="s">
        <v>64</v>
      </c>
      <c r="E64" s="12">
        <v>2</v>
      </c>
      <c r="F64" s="13"/>
      <c r="G64" s="7"/>
      <c r="H64" s="7"/>
      <c r="I64" s="7"/>
      <c r="J64" s="7">
        <v>0.11</v>
      </c>
      <c r="K64" s="7">
        <v>0.11</v>
      </c>
      <c r="L64" s="7" t="s">
        <v>11</v>
      </c>
      <c r="M64" s="7" t="s">
        <v>11</v>
      </c>
      <c r="N64" s="17" t="s">
        <v>11</v>
      </c>
    </row>
    <row r="65" ht="17.25" customHeight="1" spans="1:14">
      <c r="A65" s="7"/>
      <c r="B65" s="7" t="s">
        <v>69</v>
      </c>
      <c r="C65" s="7" t="s">
        <v>70</v>
      </c>
      <c r="D65" s="7" t="s">
        <v>71</v>
      </c>
      <c r="E65" s="12">
        <v>4</v>
      </c>
      <c r="F65" s="13"/>
      <c r="G65" s="7"/>
      <c r="H65" s="7"/>
      <c r="I65" s="7"/>
      <c r="J65" s="7">
        <v>0.03</v>
      </c>
      <c r="K65" s="7">
        <v>0.03</v>
      </c>
      <c r="L65" s="7" t="s">
        <v>11</v>
      </c>
      <c r="M65" s="7" t="s">
        <v>11</v>
      </c>
      <c r="N65" s="17" t="s">
        <v>72</v>
      </c>
    </row>
    <row r="66" ht="17.25" customHeight="1" spans="1:14">
      <c r="A66" s="7"/>
      <c r="B66" s="7" t="s">
        <v>189</v>
      </c>
      <c r="C66" s="7" t="s">
        <v>190</v>
      </c>
      <c r="D66" s="7" t="s">
        <v>191</v>
      </c>
      <c r="E66" s="12">
        <v>4</v>
      </c>
      <c r="F66" s="13"/>
      <c r="G66" s="7"/>
      <c r="H66" s="7"/>
      <c r="I66" s="7"/>
      <c r="J66" s="7">
        <v>0.6</v>
      </c>
      <c r="K66" s="7">
        <v>0.6</v>
      </c>
      <c r="L66" s="7" t="s">
        <v>11</v>
      </c>
      <c r="M66" s="7" t="s">
        <v>11</v>
      </c>
      <c r="N66" s="17" t="s">
        <v>68</v>
      </c>
    </row>
    <row r="67" ht="17.25" customHeight="1" spans="1:14">
      <c r="A67" s="7"/>
      <c r="B67" s="7" t="s">
        <v>192</v>
      </c>
      <c r="C67" s="7" t="s">
        <v>193</v>
      </c>
      <c r="D67" s="7" t="s">
        <v>194</v>
      </c>
      <c r="E67" s="12">
        <v>4</v>
      </c>
      <c r="F67" s="13"/>
      <c r="G67" s="7"/>
      <c r="H67" s="7"/>
      <c r="I67" s="7"/>
      <c r="J67" s="7">
        <v>0.7</v>
      </c>
      <c r="K67" s="7">
        <v>0.7</v>
      </c>
      <c r="L67" s="7" t="s">
        <v>11</v>
      </c>
      <c r="M67" s="7" t="s">
        <v>11</v>
      </c>
      <c r="N67" s="17" t="s">
        <v>195</v>
      </c>
    </row>
    <row r="68" ht="17.25" customHeight="1" spans="1:14">
      <c r="A68" s="7"/>
      <c r="B68" s="7" t="s">
        <v>86</v>
      </c>
      <c r="C68" s="7" t="s">
        <v>87</v>
      </c>
      <c r="D68" s="7" t="s">
        <v>88</v>
      </c>
      <c r="E68" s="12">
        <v>2</v>
      </c>
      <c r="F68" s="13"/>
      <c r="G68" s="7"/>
      <c r="H68" s="7"/>
      <c r="I68" s="7"/>
      <c r="J68" s="7">
        <v>0.65</v>
      </c>
      <c r="K68" s="7">
        <v>0.65</v>
      </c>
      <c r="L68" s="7" t="s">
        <v>11</v>
      </c>
      <c r="M68" s="7" t="s">
        <v>11</v>
      </c>
      <c r="N68" s="17" t="s">
        <v>11</v>
      </c>
    </row>
    <row r="69" ht="17.25" customHeight="1" spans="1:14">
      <c r="A69" s="7"/>
      <c r="B69" s="7" t="s">
        <v>95</v>
      </c>
      <c r="C69" s="7" t="s">
        <v>96</v>
      </c>
      <c r="D69" s="7" t="s">
        <v>97</v>
      </c>
      <c r="E69" s="12">
        <v>1</v>
      </c>
      <c r="F69" s="13"/>
      <c r="G69" s="7"/>
      <c r="H69" s="7"/>
      <c r="I69" s="7"/>
      <c r="J69" s="7">
        <v>0.35</v>
      </c>
      <c r="K69" s="7">
        <v>0.35</v>
      </c>
      <c r="L69" s="7" t="s">
        <v>11</v>
      </c>
      <c r="M69" s="7" t="s">
        <v>11</v>
      </c>
      <c r="N69" s="17" t="s">
        <v>68</v>
      </c>
    </row>
    <row r="70" ht="17.25" customHeight="1" spans="1:14">
      <c r="A70" s="7"/>
      <c r="B70" s="7" t="s">
        <v>196</v>
      </c>
      <c r="C70" s="7" t="s">
        <v>197</v>
      </c>
      <c r="D70" s="7" t="s">
        <v>198</v>
      </c>
      <c r="E70" s="12">
        <v>1</v>
      </c>
      <c r="F70" s="13"/>
      <c r="G70" s="7"/>
      <c r="H70" s="7"/>
      <c r="I70" s="7"/>
      <c r="J70" s="7">
        <v>6.95</v>
      </c>
      <c r="K70" s="7">
        <v>6.95</v>
      </c>
      <c r="L70" s="7" t="s">
        <v>11</v>
      </c>
      <c r="M70" s="7" t="s">
        <v>11</v>
      </c>
      <c r="N70" s="17" t="s">
        <v>199</v>
      </c>
    </row>
    <row r="71" ht="17.25" customHeight="1" spans="1:14">
      <c r="A71" s="7"/>
      <c r="B71" s="7" t="s">
        <v>200</v>
      </c>
      <c r="C71" s="7" t="s">
        <v>201</v>
      </c>
      <c r="D71" s="7" t="s">
        <v>202</v>
      </c>
      <c r="E71" s="12">
        <v>8</v>
      </c>
      <c r="F71" s="13"/>
      <c r="G71" s="7"/>
      <c r="H71" s="7"/>
      <c r="I71" s="7"/>
      <c r="J71" s="7">
        <v>0.02</v>
      </c>
      <c r="K71" s="7">
        <v>0.02</v>
      </c>
      <c r="L71" s="7" t="s">
        <v>11</v>
      </c>
      <c r="M71" s="7" t="s">
        <v>11</v>
      </c>
      <c r="N71" s="17" t="s">
        <v>11</v>
      </c>
    </row>
    <row r="72" ht="17.25" customHeight="1" spans="1:14">
      <c r="A72" s="7"/>
      <c r="B72" s="7" t="s">
        <v>102</v>
      </c>
      <c r="C72" s="7" t="s">
        <v>103</v>
      </c>
      <c r="D72" s="7" t="s">
        <v>104</v>
      </c>
      <c r="E72" s="12">
        <v>1</v>
      </c>
      <c r="F72" s="13"/>
      <c r="G72" s="7"/>
      <c r="H72" s="7"/>
      <c r="I72" s="7"/>
      <c r="J72" s="7">
        <v>0.01</v>
      </c>
      <c r="K72" s="7">
        <v>0.01</v>
      </c>
      <c r="L72" s="7" t="s">
        <v>11</v>
      </c>
      <c r="M72" s="7" t="s">
        <v>11</v>
      </c>
      <c r="N72" s="17" t="s">
        <v>11</v>
      </c>
    </row>
    <row r="73" ht="17.25" customHeight="1" spans="1:14">
      <c r="A73" s="7"/>
      <c r="B73" s="7" t="s">
        <v>203</v>
      </c>
      <c r="C73" s="7" t="s">
        <v>204</v>
      </c>
      <c r="D73" s="7" t="s">
        <v>205</v>
      </c>
      <c r="E73" s="12">
        <v>1</v>
      </c>
      <c r="F73" s="13"/>
      <c r="G73" s="7"/>
      <c r="H73" s="7"/>
      <c r="I73" s="7"/>
      <c r="J73" s="7">
        <v>0.052</v>
      </c>
      <c r="K73" s="7">
        <v>0.052</v>
      </c>
      <c r="L73" s="7" t="s">
        <v>11</v>
      </c>
      <c r="M73" s="7" t="s">
        <v>11</v>
      </c>
      <c r="N73" s="17" t="s">
        <v>11</v>
      </c>
    </row>
    <row r="74" ht="17.25" customHeight="1" spans="1:14">
      <c r="A74" s="7"/>
      <c r="B74" s="7" t="s">
        <v>206</v>
      </c>
      <c r="C74" s="7" t="s">
        <v>207</v>
      </c>
      <c r="D74" s="7" t="s">
        <v>208</v>
      </c>
      <c r="E74" s="12">
        <v>1</v>
      </c>
      <c r="F74" s="13"/>
      <c r="G74" s="7"/>
      <c r="H74" s="7"/>
      <c r="I74" s="7"/>
      <c r="J74" s="7">
        <v>0.069</v>
      </c>
      <c r="K74" s="7">
        <v>0.069</v>
      </c>
      <c r="L74" s="7" t="s">
        <v>11</v>
      </c>
      <c r="M74" s="7" t="s">
        <v>11</v>
      </c>
      <c r="N74" s="17" t="s">
        <v>11</v>
      </c>
    </row>
    <row r="75" ht="17.25" customHeight="1" spans="1:14">
      <c r="A75" s="7"/>
      <c r="B75" s="7" t="s">
        <v>209</v>
      </c>
      <c r="C75" s="7" t="s">
        <v>210</v>
      </c>
      <c r="D75" s="7" t="s">
        <v>211</v>
      </c>
      <c r="E75" s="12">
        <v>2</v>
      </c>
      <c r="F75" s="13"/>
      <c r="G75" s="7"/>
      <c r="H75" s="7"/>
      <c r="I75" s="7"/>
      <c r="J75" s="7">
        <v>0.021</v>
      </c>
      <c r="K75" s="7">
        <v>0.021</v>
      </c>
      <c r="L75" s="7" t="s">
        <v>11</v>
      </c>
      <c r="M75" s="7" t="s">
        <v>11</v>
      </c>
      <c r="N75" s="17" t="s">
        <v>11</v>
      </c>
    </row>
    <row r="76" ht="17.25" customHeight="1" spans="1:14">
      <c r="A76" s="7"/>
      <c r="B76" s="7" t="s">
        <v>212</v>
      </c>
      <c r="C76" s="7" t="s">
        <v>213</v>
      </c>
      <c r="D76" s="7" t="s">
        <v>214</v>
      </c>
      <c r="E76" s="12">
        <v>2</v>
      </c>
      <c r="F76" s="13"/>
      <c r="G76" s="7"/>
      <c r="H76" s="7"/>
      <c r="I76" s="7"/>
      <c r="J76" s="7">
        <v>0.03</v>
      </c>
      <c r="K76" s="7">
        <v>0.03</v>
      </c>
      <c r="L76" s="7" t="s">
        <v>11</v>
      </c>
      <c r="M76" s="7" t="s">
        <v>11</v>
      </c>
      <c r="N76" s="17" t="s">
        <v>11</v>
      </c>
    </row>
    <row r="77" ht="17.25" customHeight="1" spans="1:14">
      <c r="A77" s="7"/>
      <c r="B77" s="7" t="s">
        <v>215</v>
      </c>
      <c r="C77" s="7" t="s">
        <v>216</v>
      </c>
      <c r="D77" s="7" t="s">
        <v>217</v>
      </c>
      <c r="E77" s="12">
        <v>1</v>
      </c>
      <c r="F77" s="13"/>
      <c r="G77" s="7"/>
      <c r="H77" s="7"/>
      <c r="I77" s="7"/>
      <c r="J77" s="7">
        <v>0.027</v>
      </c>
      <c r="K77" s="7">
        <v>0.027</v>
      </c>
      <c r="L77" s="7" t="s">
        <v>11</v>
      </c>
      <c r="M77" s="7" t="s">
        <v>11</v>
      </c>
      <c r="N77" s="17" t="s">
        <v>11</v>
      </c>
    </row>
    <row r="78" ht="17.25" customHeight="1" spans="1:14">
      <c r="A78" s="7"/>
      <c r="B78" s="7" t="s">
        <v>218</v>
      </c>
      <c r="C78" s="7" t="s">
        <v>219</v>
      </c>
      <c r="D78" s="7" t="s">
        <v>220</v>
      </c>
      <c r="E78" s="12">
        <v>1</v>
      </c>
      <c r="F78" s="13"/>
      <c r="G78" s="7"/>
      <c r="H78" s="7"/>
      <c r="I78" s="7"/>
      <c r="J78" s="7">
        <v>0.021</v>
      </c>
      <c r="K78" s="7">
        <v>0.021</v>
      </c>
      <c r="L78" s="7" t="s">
        <v>11</v>
      </c>
      <c r="M78" s="7" t="s">
        <v>11</v>
      </c>
      <c r="N78" s="17" t="s">
        <v>11</v>
      </c>
    </row>
    <row r="79" ht="17.25" customHeight="1" spans="1:14">
      <c r="A79" s="7"/>
      <c r="B79" s="7" t="s">
        <v>221</v>
      </c>
      <c r="C79" s="7" t="s">
        <v>222</v>
      </c>
      <c r="D79" s="7" t="s">
        <v>223</v>
      </c>
      <c r="E79" s="12">
        <v>2</v>
      </c>
      <c r="F79" s="13"/>
      <c r="G79" s="7"/>
      <c r="H79" s="7"/>
      <c r="I79" s="7"/>
      <c r="J79" s="7">
        <v>0.02</v>
      </c>
      <c r="K79" s="7">
        <v>0.02</v>
      </c>
      <c r="L79" s="7" t="s">
        <v>11</v>
      </c>
      <c r="M79" s="7" t="s">
        <v>11</v>
      </c>
      <c r="N79" s="17" t="s">
        <v>11</v>
      </c>
    </row>
    <row r="80" ht="17.25" customHeight="1" spans="1:14">
      <c r="A80" s="7"/>
      <c r="B80" s="7" t="s">
        <v>224</v>
      </c>
      <c r="C80" s="7" t="s">
        <v>225</v>
      </c>
      <c r="D80" s="7" t="s">
        <v>226</v>
      </c>
      <c r="E80" s="12">
        <v>2</v>
      </c>
      <c r="F80" s="13"/>
      <c r="G80" s="7"/>
      <c r="H80" s="7"/>
      <c r="I80" s="7"/>
      <c r="J80" s="7">
        <v>0.017</v>
      </c>
      <c r="K80" s="7">
        <v>0.017</v>
      </c>
      <c r="L80" s="7" t="s">
        <v>11</v>
      </c>
      <c r="M80" s="7" t="s">
        <v>11</v>
      </c>
      <c r="N80" s="17" t="s">
        <v>11</v>
      </c>
    </row>
    <row r="81" ht="17.25" customHeight="1" spans="1:14">
      <c r="A81" s="7"/>
      <c r="B81" s="7" t="s">
        <v>108</v>
      </c>
      <c r="C81" s="7" t="s">
        <v>109</v>
      </c>
      <c r="D81" s="7" t="s">
        <v>110</v>
      </c>
      <c r="E81" s="12">
        <v>2</v>
      </c>
      <c r="F81" s="13"/>
      <c r="G81" s="7"/>
      <c r="H81" s="7"/>
      <c r="I81" s="7"/>
      <c r="J81" s="7">
        <v>0.026</v>
      </c>
      <c r="K81" s="7">
        <v>0.026</v>
      </c>
      <c r="L81" s="7" t="s">
        <v>11</v>
      </c>
      <c r="M81" s="7" t="s">
        <v>11</v>
      </c>
      <c r="N81" s="17" t="s">
        <v>11</v>
      </c>
    </row>
    <row r="82" ht="17.25" customHeight="1" spans="1:14">
      <c r="A82" s="7"/>
      <c r="B82" s="7" t="s">
        <v>227</v>
      </c>
      <c r="C82" s="7" t="s">
        <v>228</v>
      </c>
      <c r="D82" s="7" t="s">
        <v>229</v>
      </c>
      <c r="E82" s="12">
        <v>2</v>
      </c>
      <c r="F82" s="13"/>
      <c r="G82" s="7"/>
      <c r="H82" s="7"/>
      <c r="I82" s="7"/>
      <c r="J82" s="7">
        <v>0.047</v>
      </c>
      <c r="K82" s="7">
        <v>0.047</v>
      </c>
      <c r="L82" s="7" t="s">
        <v>11</v>
      </c>
      <c r="M82" s="7" t="s">
        <v>11</v>
      </c>
      <c r="N82" s="17" t="s">
        <v>11</v>
      </c>
    </row>
    <row r="83" ht="17.25" customHeight="1" spans="1:14">
      <c r="A83" s="7"/>
      <c r="B83" s="7" t="s">
        <v>230</v>
      </c>
      <c r="C83" s="7" t="s">
        <v>231</v>
      </c>
      <c r="D83" s="7" t="s">
        <v>232</v>
      </c>
      <c r="E83" s="12">
        <v>1</v>
      </c>
      <c r="F83" s="13"/>
      <c r="G83" s="7"/>
      <c r="H83" s="7"/>
      <c r="I83" s="7"/>
      <c r="J83" s="7">
        <v>0.029</v>
      </c>
      <c r="K83" s="7">
        <v>0.029</v>
      </c>
      <c r="L83" s="7" t="s">
        <v>11</v>
      </c>
      <c r="M83" s="7" t="s">
        <v>11</v>
      </c>
      <c r="N83" s="17" t="s">
        <v>11</v>
      </c>
    </row>
    <row r="84" ht="17.25" customHeight="1" spans="1:14">
      <c r="A84" s="7"/>
      <c r="B84" s="7" t="s">
        <v>233</v>
      </c>
      <c r="C84" s="7" t="s">
        <v>234</v>
      </c>
      <c r="D84" s="7" t="s">
        <v>235</v>
      </c>
      <c r="E84" s="12">
        <v>1</v>
      </c>
      <c r="F84" s="13"/>
      <c r="G84" s="7"/>
      <c r="H84" s="7"/>
      <c r="I84" s="7"/>
      <c r="J84" s="7">
        <v>0.037</v>
      </c>
      <c r="K84" s="7">
        <v>0.037</v>
      </c>
      <c r="L84" s="7" t="s">
        <v>11</v>
      </c>
      <c r="M84" s="7" t="s">
        <v>11</v>
      </c>
      <c r="N84" s="17" t="s">
        <v>11</v>
      </c>
    </row>
    <row r="85" ht="17.25" customHeight="1" spans="1:14">
      <c r="A85" s="7"/>
      <c r="B85" s="7" t="s">
        <v>236</v>
      </c>
      <c r="C85" s="7" t="s">
        <v>237</v>
      </c>
      <c r="D85" s="7" t="s">
        <v>238</v>
      </c>
      <c r="E85" s="12">
        <v>5</v>
      </c>
      <c r="F85" s="13"/>
      <c r="G85" s="7"/>
      <c r="H85" s="7"/>
      <c r="I85" s="7"/>
      <c r="J85" s="7">
        <v>0.01</v>
      </c>
      <c r="K85" s="7">
        <v>0.01</v>
      </c>
      <c r="L85" s="7" t="s">
        <v>11</v>
      </c>
      <c r="M85" s="7" t="s">
        <v>11</v>
      </c>
      <c r="N85" s="17" t="s">
        <v>11</v>
      </c>
    </row>
    <row r="86" ht="17.25" customHeight="1" spans="1:14">
      <c r="A86" s="7"/>
      <c r="B86" s="7" t="s">
        <v>117</v>
      </c>
      <c r="C86" s="7" t="s">
        <v>118</v>
      </c>
      <c r="D86" s="7" t="s">
        <v>119</v>
      </c>
      <c r="E86" s="12">
        <v>1</v>
      </c>
      <c r="F86" s="7"/>
      <c r="G86" s="7"/>
      <c r="H86" s="7"/>
      <c r="I86" s="7"/>
      <c r="J86" s="7"/>
      <c r="K86" s="7"/>
      <c r="L86" s="7"/>
      <c r="M86" s="7"/>
      <c r="N86" s="17"/>
    </row>
    <row r="87" ht="17.25" customHeight="1" spans="1:14">
      <c r="A87" s="9"/>
      <c r="B87" s="9" t="s">
        <v>168</v>
      </c>
      <c r="C87" s="9"/>
      <c r="D87" s="10" t="s">
        <v>120</v>
      </c>
      <c r="E87" s="14">
        <v>1</v>
      </c>
      <c r="F87" s="9">
        <f>SUMPRODUCT(F56:F86*E56:E86)</f>
        <v>0.478952</v>
      </c>
      <c r="G87" s="10" t="s">
        <v>239</v>
      </c>
      <c r="H87" s="10" t="s">
        <v>240</v>
      </c>
      <c r="I87" s="10" t="s">
        <v>241</v>
      </c>
      <c r="J87" s="9">
        <f>SUMPRODUCT(J56:J86*E56:E86)</f>
        <v>58.296</v>
      </c>
      <c r="K87" s="9">
        <f>SUMPRODUCT(K56:K86*E56:E86)</f>
        <v>41.363</v>
      </c>
      <c r="L87" s="9"/>
      <c r="M87" s="9"/>
      <c r="N87" s="18"/>
    </row>
    <row r="88" ht="17.25" customHeight="1" spans="1:14">
      <c r="A88" s="9"/>
      <c r="B88" s="9" t="s">
        <v>122</v>
      </c>
      <c r="C88" s="9" t="s">
        <v>168</v>
      </c>
      <c r="D88" s="10" t="s">
        <v>17</v>
      </c>
      <c r="E88" s="14">
        <v>1</v>
      </c>
      <c r="F88" s="9">
        <f>E88*SUMPRODUCT(F56:F86*E56:E86)</f>
        <v>0.478952</v>
      </c>
      <c r="G88" s="10">
        <v>3536.87</v>
      </c>
      <c r="H88" s="10">
        <v>767.49</v>
      </c>
      <c r="I88" s="10">
        <v>2152.18</v>
      </c>
      <c r="J88" s="9">
        <f>E88*SUMPRODUCT(J56:J86*E56:E86)</f>
        <v>58.296</v>
      </c>
      <c r="K88" s="9">
        <f>E88*SUMPRODUCT(K56:K86*E56:E86)</f>
        <v>41.363</v>
      </c>
      <c r="L88" s="9"/>
      <c r="M88" s="9"/>
      <c r="N88" s="18"/>
    </row>
    <row r="89" ht="17.25" customHeight="1" spans="1:14">
      <c r="A89" s="9"/>
      <c r="B89" s="9" t="s">
        <v>123</v>
      </c>
      <c r="C89" s="9" t="s">
        <v>166</v>
      </c>
      <c r="D89" s="9"/>
      <c r="E89" s="14"/>
      <c r="F89" s="9"/>
      <c r="G89" s="9">
        <f>G88</f>
        <v>3536.87</v>
      </c>
      <c r="H89" s="9">
        <f>H88</f>
        <v>767.49</v>
      </c>
      <c r="I89" s="9">
        <f>I88</f>
        <v>2152.18</v>
      </c>
      <c r="J89" s="9">
        <f>J88</f>
        <v>58.296</v>
      </c>
      <c r="K89" s="9">
        <f>K88</f>
        <v>41.363</v>
      </c>
      <c r="L89" s="9"/>
      <c r="M89" s="9"/>
      <c r="N89" s="19"/>
    </row>
    <row r="90" ht="23" customHeight="1" spans="1:14">
      <c r="A90" s="6" t="s">
        <v>242</v>
      </c>
      <c r="B90" s="6" t="s">
        <v>243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16"/>
    </row>
    <row r="91" ht="17.25" customHeight="1" spans="1:14">
      <c r="A91" s="7" t="s">
        <v>244</v>
      </c>
      <c r="B91" s="8" t="s">
        <v>168</v>
      </c>
      <c r="C91" s="8"/>
      <c r="D91" s="7"/>
      <c r="E91" s="12"/>
      <c r="F91" s="7"/>
      <c r="G91" s="7"/>
      <c r="J91" s="7"/>
      <c r="K91" s="7"/>
      <c r="L91" s="7"/>
      <c r="M91" s="7"/>
      <c r="N91" s="17"/>
    </row>
    <row r="92" ht="17.25" customHeight="1" spans="1:14">
      <c r="A92" s="7"/>
      <c r="B92" s="7" t="s">
        <v>169</v>
      </c>
      <c r="C92" s="7" t="s">
        <v>170</v>
      </c>
      <c r="D92" s="7" t="s">
        <v>171</v>
      </c>
      <c r="E92" s="12">
        <v>1</v>
      </c>
      <c r="F92" s="13">
        <v>0.478952</v>
      </c>
      <c r="G92" s="7"/>
      <c r="H92" s="7"/>
      <c r="I92" s="7"/>
      <c r="J92" s="7">
        <v>34.85</v>
      </c>
      <c r="K92" s="7">
        <v>17.917</v>
      </c>
      <c r="L92" s="7" t="s">
        <v>172</v>
      </c>
      <c r="M92" s="7" t="s">
        <v>173</v>
      </c>
      <c r="N92" s="17" t="s">
        <v>174</v>
      </c>
    </row>
    <row r="93" ht="17.25" customHeight="1" spans="1:14">
      <c r="A93" s="7"/>
      <c r="B93" s="7" t="s">
        <v>37</v>
      </c>
      <c r="C93" s="7" t="s">
        <v>38</v>
      </c>
      <c r="D93" s="7" t="s">
        <v>39</v>
      </c>
      <c r="E93" s="12">
        <v>2</v>
      </c>
      <c r="F93" s="13"/>
      <c r="G93" s="7"/>
      <c r="H93" s="7"/>
      <c r="I93" s="7"/>
      <c r="J93" s="7">
        <v>0.15</v>
      </c>
      <c r="K93" s="7">
        <v>0.15</v>
      </c>
      <c r="L93" s="7" t="s">
        <v>11</v>
      </c>
      <c r="M93" s="7" t="s">
        <v>40</v>
      </c>
      <c r="N93" s="17" t="s">
        <v>41</v>
      </c>
    </row>
    <row r="94" ht="17.25" customHeight="1" spans="1:14">
      <c r="A94" s="7"/>
      <c r="B94" s="7" t="s">
        <v>42</v>
      </c>
      <c r="C94" s="7" t="s">
        <v>43</v>
      </c>
      <c r="D94" s="7" t="s">
        <v>44</v>
      </c>
      <c r="E94" s="12">
        <v>24</v>
      </c>
      <c r="F94" s="13"/>
      <c r="G94" s="7"/>
      <c r="H94" s="7"/>
      <c r="I94" s="7"/>
      <c r="J94" s="7">
        <v>0.05</v>
      </c>
      <c r="K94" s="7">
        <v>0.05</v>
      </c>
      <c r="L94" s="7" t="s">
        <v>11</v>
      </c>
      <c r="M94" s="7" t="s">
        <v>40</v>
      </c>
      <c r="N94" s="17" t="s">
        <v>45</v>
      </c>
    </row>
    <row r="95" ht="17.25" customHeight="1" spans="1:14">
      <c r="A95" s="7"/>
      <c r="B95" s="7" t="s">
        <v>46</v>
      </c>
      <c r="C95" s="7" t="s">
        <v>47</v>
      </c>
      <c r="D95" s="7" t="s">
        <v>48</v>
      </c>
      <c r="E95" s="12">
        <v>8</v>
      </c>
      <c r="F95" s="13"/>
      <c r="G95" s="7"/>
      <c r="H95" s="7"/>
      <c r="I95" s="7"/>
      <c r="J95" s="7">
        <v>0.01</v>
      </c>
      <c r="K95" s="7">
        <v>0.01</v>
      </c>
      <c r="L95" s="7" t="s">
        <v>11</v>
      </c>
      <c r="M95" s="7" t="s">
        <v>11</v>
      </c>
      <c r="N95" s="17" t="s">
        <v>11</v>
      </c>
    </row>
    <row r="96" ht="17.25" customHeight="1" spans="1:14">
      <c r="A96" s="7"/>
      <c r="B96" s="7" t="s">
        <v>175</v>
      </c>
      <c r="C96" s="7" t="s">
        <v>176</v>
      </c>
      <c r="D96" s="7" t="s">
        <v>177</v>
      </c>
      <c r="E96" s="12">
        <v>1</v>
      </c>
      <c r="F96" s="13"/>
      <c r="G96" s="7"/>
      <c r="H96" s="7"/>
      <c r="I96" s="7"/>
      <c r="J96" s="7">
        <v>0.849</v>
      </c>
      <c r="K96" s="7">
        <v>0.849</v>
      </c>
      <c r="L96" s="7" t="s">
        <v>11</v>
      </c>
      <c r="M96" s="7" t="s">
        <v>11</v>
      </c>
      <c r="N96" s="17" t="s">
        <v>11</v>
      </c>
    </row>
    <row r="97" ht="17.25" customHeight="1" spans="1:14">
      <c r="A97" s="7"/>
      <c r="B97" s="7" t="s">
        <v>178</v>
      </c>
      <c r="C97" s="7" t="s">
        <v>179</v>
      </c>
      <c r="D97" s="7" t="s">
        <v>180</v>
      </c>
      <c r="E97" s="12">
        <v>1</v>
      </c>
      <c r="F97" s="13"/>
      <c r="G97" s="7"/>
      <c r="H97" s="7"/>
      <c r="I97" s="7"/>
      <c r="J97" s="7">
        <v>0.87</v>
      </c>
      <c r="K97" s="7">
        <v>0.87</v>
      </c>
      <c r="L97" s="7" t="s">
        <v>11</v>
      </c>
      <c r="M97" s="7" t="s">
        <v>40</v>
      </c>
      <c r="N97" s="17" t="s">
        <v>181</v>
      </c>
    </row>
    <row r="98" ht="17.25" customHeight="1" spans="1:14">
      <c r="A98" s="7"/>
      <c r="B98" s="7" t="s">
        <v>182</v>
      </c>
      <c r="C98" s="7" t="s">
        <v>183</v>
      </c>
      <c r="D98" s="7" t="s">
        <v>184</v>
      </c>
      <c r="E98" s="12">
        <v>2</v>
      </c>
      <c r="F98" s="13"/>
      <c r="G98" s="7"/>
      <c r="H98" s="7"/>
      <c r="I98" s="7"/>
      <c r="J98" s="7">
        <v>0.04</v>
      </c>
      <c r="K98" s="7">
        <v>0.04</v>
      </c>
      <c r="L98" s="7" t="s">
        <v>11</v>
      </c>
      <c r="M98" s="7" t="s">
        <v>11</v>
      </c>
      <c r="N98" s="17" t="s">
        <v>45</v>
      </c>
    </row>
    <row r="99" ht="17.25" customHeight="1" spans="1:14">
      <c r="A99" s="7"/>
      <c r="B99" s="7" t="s">
        <v>245</v>
      </c>
      <c r="C99" s="7" t="s">
        <v>246</v>
      </c>
      <c r="D99" s="7" t="s">
        <v>247</v>
      </c>
      <c r="E99" s="12">
        <v>5</v>
      </c>
      <c r="F99" s="13"/>
      <c r="G99" s="7"/>
      <c r="H99" s="7"/>
      <c r="I99" s="7"/>
      <c r="J99" s="7">
        <v>0.6</v>
      </c>
      <c r="K99" s="7">
        <v>0.6</v>
      </c>
      <c r="L99" s="7" t="s">
        <v>11</v>
      </c>
      <c r="M99" s="7" t="s">
        <v>11</v>
      </c>
      <c r="N99" s="17" t="s">
        <v>188</v>
      </c>
    </row>
    <row r="100" ht="17.25" customHeight="1" spans="1:14">
      <c r="A100" s="7"/>
      <c r="B100" s="7" t="s">
        <v>62</v>
      </c>
      <c r="C100" s="7" t="s">
        <v>63</v>
      </c>
      <c r="D100" s="7" t="s">
        <v>64</v>
      </c>
      <c r="E100" s="12">
        <v>2</v>
      </c>
      <c r="F100" s="13"/>
      <c r="G100" s="7"/>
      <c r="H100" s="7"/>
      <c r="I100" s="7"/>
      <c r="J100" s="7">
        <v>0.11</v>
      </c>
      <c r="K100" s="7">
        <v>0.11</v>
      </c>
      <c r="L100" s="7" t="s">
        <v>11</v>
      </c>
      <c r="M100" s="7" t="s">
        <v>11</v>
      </c>
      <c r="N100" s="17" t="s">
        <v>11</v>
      </c>
    </row>
    <row r="101" ht="17.25" customHeight="1" spans="1:14">
      <c r="A101" s="7"/>
      <c r="B101" s="7" t="s">
        <v>69</v>
      </c>
      <c r="C101" s="7" t="s">
        <v>70</v>
      </c>
      <c r="D101" s="7" t="s">
        <v>71</v>
      </c>
      <c r="E101" s="12">
        <v>4</v>
      </c>
      <c r="F101" s="13"/>
      <c r="G101" s="7"/>
      <c r="H101" s="7"/>
      <c r="I101" s="7"/>
      <c r="J101" s="7">
        <v>0.03</v>
      </c>
      <c r="K101" s="7">
        <v>0.03</v>
      </c>
      <c r="L101" s="7" t="s">
        <v>11</v>
      </c>
      <c r="M101" s="7" t="s">
        <v>11</v>
      </c>
      <c r="N101" s="17" t="s">
        <v>72</v>
      </c>
    </row>
    <row r="102" ht="17.25" customHeight="1" spans="1:14">
      <c r="A102" s="7"/>
      <c r="B102" s="7" t="s">
        <v>189</v>
      </c>
      <c r="C102" s="7" t="s">
        <v>190</v>
      </c>
      <c r="D102" s="7" t="s">
        <v>191</v>
      </c>
      <c r="E102" s="12">
        <v>4</v>
      </c>
      <c r="F102" s="13"/>
      <c r="G102" s="7"/>
      <c r="H102" s="7"/>
      <c r="I102" s="7"/>
      <c r="J102" s="7">
        <v>0.6</v>
      </c>
      <c r="K102" s="7">
        <v>0.6</v>
      </c>
      <c r="L102" s="7" t="s">
        <v>11</v>
      </c>
      <c r="M102" s="7" t="s">
        <v>11</v>
      </c>
      <c r="N102" s="17" t="s">
        <v>68</v>
      </c>
    </row>
    <row r="103" ht="17.25" customHeight="1" spans="1:14">
      <c r="A103" s="7"/>
      <c r="B103" s="7" t="s">
        <v>192</v>
      </c>
      <c r="C103" s="7" t="s">
        <v>193</v>
      </c>
      <c r="D103" s="7" t="s">
        <v>194</v>
      </c>
      <c r="E103" s="12">
        <v>4</v>
      </c>
      <c r="F103" s="13"/>
      <c r="G103" s="7"/>
      <c r="H103" s="7"/>
      <c r="I103" s="7"/>
      <c r="J103" s="7">
        <v>0.7</v>
      </c>
      <c r="K103" s="7">
        <v>0.7</v>
      </c>
      <c r="L103" s="7" t="s">
        <v>11</v>
      </c>
      <c r="M103" s="7" t="s">
        <v>11</v>
      </c>
      <c r="N103" s="17" t="s">
        <v>195</v>
      </c>
    </row>
    <row r="104" ht="17.25" customHeight="1" spans="1:14">
      <c r="A104" s="7"/>
      <c r="B104" s="7" t="s">
        <v>86</v>
      </c>
      <c r="C104" s="7" t="s">
        <v>87</v>
      </c>
      <c r="D104" s="7" t="s">
        <v>88</v>
      </c>
      <c r="E104" s="12">
        <v>2</v>
      </c>
      <c r="F104" s="13"/>
      <c r="G104" s="7"/>
      <c r="H104" s="7"/>
      <c r="I104" s="7"/>
      <c r="J104" s="7">
        <v>0.65</v>
      </c>
      <c r="K104" s="7">
        <v>0.65</v>
      </c>
      <c r="L104" s="7" t="s">
        <v>11</v>
      </c>
      <c r="M104" s="7" t="s">
        <v>11</v>
      </c>
      <c r="N104" s="17" t="s">
        <v>11</v>
      </c>
    </row>
    <row r="105" ht="17.25" customHeight="1" spans="1:14">
      <c r="A105" s="7"/>
      <c r="B105" s="7" t="s">
        <v>95</v>
      </c>
      <c r="C105" s="7" t="s">
        <v>96</v>
      </c>
      <c r="D105" s="7" t="s">
        <v>97</v>
      </c>
      <c r="E105" s="12">
        <v>1</v>
      </c>
      <c r="F105" s="13"/>
      <c r="G105" s="7"/>
      <c r="H105" s="7"/>
      <c r="I105" s="7"/>
      <c r="J105" s="7">
        <v>0.35</v>
      </c>
      <c r="K105" s="7">
        <v>0.35</v>
      </c>
      <c r="L105" s="7" t="s">
        <v>11</v>
      </c>
      <c r="M105" s="7" t="s">
        <v>11</v>
      </c>
      <c r="N105" s="17" t="s">
        <v>68</v>
      </c>
    </row>
    <row r="106" ht="17.25" customHeight="1" spans="1:14">
      <c r="A106" s="7"/>
      <c r="B106" s="7" t="s">
        <v>196</v>
      </c>
      <c r="C106" s="7" t="s">
        <v>197</v>
      </c>
      <c r="D106" s="7" t="s">
        <v>198</v>
      </c>
      <c r="E106" s="12">
        <v>1</v>
      </c>
      <c r="F106" s="13"/>
      <c r="G106" s="7"/>
      <c r="H106" s="7"/>
      <c r="I106" s="7"/>
      <c r="J106" s="7">
        <v>6.95</v>
      </c>
      <c r="K106" s="7">
        <v>6.95</v>
      </c>
      <c r="L106" s="7" t="s">
        <v>11</v>
      </c>
      <c r="M106" s="7" t="s">
        <v>11</v>
      </c>
      <c r="N106" s="17" t="s">
        <v>199</v>
      </c>
    </row>
    <row r="107" ht="17.25" customHeight="1" spans="1:14">
      <c r="A107" s="7"/>
      <c r="B107" s="7" t="s">
        <v>200</v>
      </c>
      <c r="C107" s="7" t="s">
        <v>201</v>
      </c>
      <c r="D107" s="7" t="s">
        <v>202</v>
      </c>
      <c r="E107" s="12">
        <v>13</v>
      </c>
      <c r="F107" s="13"/>
      <c r="G107" s="7"/>
      <c r="H107" s="7"/>
      <c r="I107" s="7"/>
      <c r="J107" s="7">
        <v>0.02</v>
      </c>
      <c r="K107" s="7">
        <v>0.02</v>
      </c>
      <c r="L107" s="7" t="s">
        <v>11</v>
      </c>
      <c r="M107" s="7" t="s">
        <v>11</v>
      </c>
      <c r="N107" s="17" t="s">
        <v>11</v>
      </c>
    </row>
    <row r="108" ht="17.25" customHeight="1" spans="1:14">
      <c r="A108" s="7"/>
      <c r="B108" s="7" t="s">
        <v>102</v>
      </c>
      <c r="C108" s="7" t="s">
        <v>103</v>
      </c>
      <c r="D108" s="7" t="s">
        <v>104</v>
      </c>
      <c r="E108" s="12">
        <v>1</v>
      </c>
      <c r="F108" s="13"/>
      <c r="G108" s="7"/>
      <c r="H108" s="7"/>
      <c r="I108" s="7"/>
      <c r="J108" s="7">
        <v>0.01</v>
      </c>
      <c r="K108" s="7">
        <v>0.01</v>
      </c>
      <c r="L108" s="7" t="s">
        <v>11</v>
      </c>
      <c r="M108" s="7" t="s">
        <v>11</v>
      </c>
      <c r="N108" s="17" t="s">
        <v>11</v>
      </c>
    </row>
    <row r="109" ht="17.25" customHeight="1" spans="1:14">
      <c r="A109" s="7"/>
      <c r="B109" s="7" t="s">
        <v>203</v>
      </c>
      <c r="C109" s="7" t="s">
        <v>204</v>
      </c>
      <c r="D109" s="7" t="s">
        <v>205</v>
      </c>
      <c r="E109" s="12">
        <v>1</v>
      </c>
      <c r="F109" s="13"/>
      <c r="G109" s="7"/>
      <c r="H109" s="7"/>
      <c r="I109" s="7"/>
      <c r="J109" s="7">
        <v>0.052</v>
      </c>
      <c r="K109" s="7">
        <v>0.052</v>
      </c>
      <c r="L109" s="7" t="s">
        <v>11</v>
      </c>
      <c r="M109" s="7" t="s">
        <v>11</v>
      </c>
      <c r="N109" s="17" t="s">
        <v>11</v>
      </c>
    </row>
    <row r="110" ht="17.25" customHeight="1" spans="1:14">
      <c r="A110" s="7"/>
      <c r="B110" s="7" t="s">
        <v>206</v>
      </c>
      <c r="C110" s="7" t="s">
        <v>207</v>
      </c>
      <c r="D110" s="7" t="s">
        <v>208</v>
      </c>
      <c r="E110" s="12">
        <v>1</v>
      </c>
      <c r="F110" s="13"/>
      <c r="G110" s="7"/>
      <c r="H110" s="7"/>
      <c r="I110" s="7"/>
      <c r="J110" s="7">
        <v>0.069</v>
      </c>
      <c r="K110" s="7">
        <v>0.069</v>
      </c>
      <c r="L110" s="7" t="s">
        <v>11</v>
      </c>
      <c r="M110" s="7" t="s">
        <v>11</v>
      </c>
      <c r="N110" s="17" t="s">
        <v>11</v>
      </c>
    </row>
    <row r="111" ht="17.25" customHeight="1" spans="1:14">
      <c r="A111" s="7"/>
      <c r="B111" s="7" t="s">
        <v>209</v>
      </c>
      <c r="C111" s="7" t="s">
        <v>210</v>
      </c>
      <c r="D111" s="7" t="s">
        <v>211</v>
      </c>
      <c r="E111" s="12">
        <v>2</v>
      </c>
      <c r="F111" s="13"/>
      <c r="G111" s="7"/>
      <c r="H111" s="7"/>
      <c r="I111" s="7"/>
      <c r="J111" s="7">
        <v>0.021</v>
      </c>
      <c r="K111" s="7">
        <v>0.021</v>
      </c>
      <c r="L111" s="7" t="s">
        <v>11</v>
      </c>
      <c r="M111" s="7" t="s">
        <v>11</v>
      </c>
      <c r="N111" s="17" t="s">
        <v>11</v>
      </c>
    </row>
    <row r="112" ht="17.25" customHeight="1" spans="1:14">
      <c r="A112" s="7"/>
      <c r="B112" s="7" t="s">
        <v>212</v>
      </c>
      <c r="C112" s="7" t="s">
        <v>213</v>
      </c>
      <c r="D112" s="7" t="s">
        <v>214</v>
      </c>
      <c r="E112" s="12">
        <v>2</v>
      </c>
      <c r="F112" s="13"/>
      <c r="G112" s="7"/>
      <c r="H112" s="7"/>
      <c r="I112" s="7"/>
      <c r="J112" s="7">
        <v>0.03</v>
      </c>
      <c r="K112" s="7">
        <v>0.03</v>
      </c>
      <c r="L112" s="7" t="s">
        <v>11</v>
      </c>
      <c r="M112" s="7" t="s">
        <v>11</v>
      </c>
      <c r="N112" s="17" t="s">
        <v>11</v>
      </c>
    </row>
    <row r="113" ht="17.25" customHeight="1" spans="1:14">
      <c r="A113" s="7"/>
      <c r="B113" s="7" t="s">
        <v>215</v>
      </c>
      <c r="C113" s="7" t="s">
        <v>216</v>
      </c>
      <c r="D113" s="7" t="s">
        <v>217</v>
      </c>
      <c r="E113" s="12">
        <v>1</v>
      </c>
      <c r="F113" s="13"/>
      <c r="G113" s="7"/>
      <c r="H113" s="7"/>
      <c r="I113" s="7"/>
      <c r="J113" s="7">
        <v>0.027</v>
      </c>
      <c r="K113" s="7">
        <v>0.027</v>
      </c>
      <c r="L113" s="7" t="s">
        <v>11</v>
      </c>
      <c r="M113" s="7" t="s">
        <v>11</v>
      </c>
      <c r="N113" s="17" t="s">
        <v>11</v>
      </c>
    </row>
    <row r="114" ht="17.25" customHeight="1" spans="1:14">
      <c r="A114" s="7"/>
      <c r="B114" s="7" t="s">
        <v>218</v>
      </c>
      <c r="C114" s="7" t="s">
        <v>219</v>
      </c>
      <c r="D114" s="7" t="s">
        <v>220</v>
      </c>
      <c r="E114" s="12">
        <v>1</v>
      </c>
      <c r="F114" s="13"/>
      <c r="G114" s="7"/>
      <c r="H114" s="7"/>
      <c r="I114" s="7"/>
      <c r="J114" s="7">
        <v>0.021</v>
      </c>
      <c r="K114" s="7">
        <v>0.021</v>
      </c>
      <c r="L114" s="7" t="s">
        <v>11</v>
      </c>
      <c r="M114" s="7" t="s">
        <v>11</v>
      </c>
      <c r="N114" s="17" t="s">
        <v>11</v>
      </c>
    </row>
    <row r="115" ht="17.25" customHeight="1" spans="1:14">
      <c r="A115" s="7"/>
      <c r="B115" s="7" t="s">
        <v>221</v>
      </c>
      <c r="C115" s="7" t="s">
        <v>222</v>
      </c>
      <c r="D115" s="7" t="s">
        <v>223</v>
      </c>
      <c r="E115" s="12">
        <v>2</v>
      </c>
      <c r="F115" s="13"/>
      <c r="G115" s="7"/>
      <c r="H115" s="7"/>
      <c r="I115" s="7"/>
      <c r="J115" s="7">
        <v>0.02</v>
      </c>
      <c r="K115" s="7">
        <v>0.02</v>
      </c>
      <c r="L115" s="7" t="s">
        <v>11</v>
      </c>
      <c r="M115" s="7" t="s">
        <v>11</v>
      </c>
      <c r="N115" s="17" t="s">
        <v>11</v>
      </c>
    </row>
    <row r="116" ht="17.25" customHeight="1" spans="1:14">
      <c r="A116" s="7"/>
      <c r="B116" s="7" t="s">
        <v>224</v>
      </c>
      <c r="C116" s="7" t="s">
        <v>225</v>
      </c>
      <c r="D116" s="7" t="s">
        <v>226</v>
      </c>
      <c r="E116" s="12">
        <v>2</v>
      </c>
      <c r="F116" s="13"/>
      <c r="G116" s="7"/>
      <c r="H116" s="7"/>
      <c r="I116" s="7"/>
      <c r="J116" s="7">
        <v>0.017</v>
      </c>
      <c r="K116" s="7">
        <v>0.017</v>
      </c>
      <c r="L116" s="7" t="s">
        <v>11</v>
      </c>
      <c r="M116" s="7" t="s">
        <v>11</v>
      </c>
      <c r="N116" s="17" t="s">
        <v>11</v>
      </c>
    </row>
    <row r="117" ht="17.25" customHeight="1" spans="1:14">
      <c r="A117" s="7"/>
      <c r="B117" s="7" t="s">
        <v>108</v>
      </c>
      <c r="C117" s="7" t="s">
        <v>109</v>
      </c>
      <c r="D117" s="7" t="s">
        <v>110</v>
      </c>
      <c r="E117" s="12">
        <v>2</v>
      </c>
      <c r="F117" s="13"/>
      <c r="G117" s="7"/>
      <c r="H117" s="7"/>
      <c r="I117" s="7"/>
      <c r="J117" s="7">
        <v>0.026</v>
      </c>
      <c r="K117" s="7">
        <v>0.026</v>
      </c>
      <c r="L117" s="7" t="s">
        <v>11</v>
      </c>
      <c r="M117" s="7" t="s">
        <v>11</v>
      </c>
      <c r="N117" s="17" t="s">
        <v>11</v>
      </c>
    </row>
    <row r="118" ht="17.25" customHeight="1" spans="1:14">
      <c r="A118" s="7"/>
      <c r="B118" s="7" t="s">
        <v>227</v>
      </c>
      <c r="C118" s="7" t="s">
        <v>228</v>
      </c>
      <c r="D118" s="7" t="s">
        <v>229</v>
      </c>
      <c r="E118" s="12">
        <v>2</v>
      </c>
      <c r="F118" s="13"/>
      <c r="G118" s="7"/>
      <c r="H118" s="7"/>
      <c r="I118" s="7"/>
      <c r="J118" s="7">
        <v>0.047</v>
      </c>
      <c r="K118" s="7">
        <v>0.047</v>
      </c>
      <c r="L118" s="7" t="s">
        <v>11</v>
      </c>
      <c r="M118" s="7" t="s">
        <v>11</v>
      </c>
      <c r="N118" s="17" t="s">
        <v>11</v>
      </c>
    </row>
    <row r="119" ht="17.25" customHeight="1" spans="1:14">
      <c r="A119" s="7"/>
      <c r="B119" s="7" t="s">
        <v>230</v>
      </c>
      <c r="C119" s="7" t="s">
        <v>231</v>
      </c>
      <c r="D119" s="7" t="s">
        <v>232</v>
      </c>
      <c r="E119" s="12">
        <v>1</v>
      </c>
      <c r="F119" s="13"/>
      <c r="G119" s="7"/>
      <c r="H119" s="7"/>
      <c r="I119" s="7"/>
      <c r="J119" s="7">
        <v>0.029</v>
      </c>
      <c r="K119" s="7">
        <v>0.029</v>
      </c>
      <c r="L119" s="7" t="s">
        <v>11</v>
      </c>
      <c r="M119" s="7" t="s">
        <v>11</v>
      </c>
      <c r="N119" s="17" t="s">
        <v>11</v>
      </c>
    </row>
    <row r="120" ht="17.25" customHeight="1" spans="1:14">
      <c r="A120" s="7"/>
      <c r="B120" s="7" t="s">
        <v>233</v>
      </c>
      <c r="C120" s="7" t="s">
        <v>234</v>
      </c>
      <c r="D120" s="7" t="s">
        <v>235</v>
      </c>
      <c r="E120" s="12">
        <v>1</v>
      </c>
      <c r="F120" s="13"/>
      <c r="G120" s="7"/>
      <c r="H120" s="7"/>
      <c r="I120" s="7"/>
      <c r="J120" s="7">
        <v>0.037</v>
      </c>
      <c r="K120" s="7">
        <v>0.037</v>
      </c>
      <c r="L120" s="7" t="s">
        <v>11</v>
      </c>
      <c r="M120" s="7" t="s">
        <v>11</v>
      </c>
      <c r="N120" s="17" t="s">
        <v>11</v>
      </c>
    </row>
    <row r="121" ht="17.25" customHeight="1" spans="1:14">
      <c r="A121" s="7"/>
      <c r="B121" s="7" t="s">
        <v>248</v>
      </c>
      <c r="C121" s="7" t="s">
        <v>249</v>
      </c>
      <c r="D121" s="7" t="s">
        <v>250</v>
      </c>
      <c r="E121" s="12">
        <v>5</v>
      </c>
      <c r="F121" s="13"/>
      <c r="G121" s="7"/>
      <c r="H121" s="7"/>
      <c r="I121" s="7"/>
      <c r="J121" s="7">
        <v>0.04</v>
      </c>
      <c r="K121" s="7">
        <v>0.04</v>
      </c>
      <c r="L121" s="7" t="s">
        <v>11</v>
      </c>
      <c r="M121" s="7" t="s">
        <v>40</v>
      </c>
      <c r="N121" s="17" t="s">
        <v>11</v>
      </c>
    </row>
    <row r="122" ht="17.25" customHeight="1" spans="1:14">
      <c r="A122" s="7"/>
      <c r="B122" s="7" t="s">
        <v>117</v>
      </c>
      <c r="C122" s="7" t="s">
        <v>118</v>
      </c>
      <c r="D122" s="7" t="s">
        <v>119</v>
      </c>
      <c r="E122" s="12">
        <v>1</v>
      </c>
      <c r="F122" s="7"/>
      <c r="G122" s="7"/>
      <c r="H122" s="7"/>
      <c r="I122" s="7"/>
      <c r="J122" s="7"/>
      <c r="K122" s="7"/>
      <c r="L122" s="7"/>
      <c r="M122" s="7"/>
      <c r="N122" s="17"/>
    </row>
    <row r="123" ht="17.25" customHeight="1" spans="1:14">
      <c r="A123" s="9"/>
      <c r="B123" s="9" t="s">
        <v>168</v>
      </c>
      <c r="C123" s="9"/>
      <c r="D123" s="10" t="s">
        <v>120</v>
      </c>
      <c r="E123" s="14">
        <v>1</v>
      </c>
      <c r="F123" s="9">
        <f>SUMPRODUCT(F92:F122*E92:E122)</f>
        <v>0.478952</v>
      </c>
      <c r="G123" s="10" t="s">
        <v>251</v>
      </c>
      <c r="H123" s="10" t="s">
        <v>252</v>
      </c>
      <c r="I123" s="10" t="s">
        <v>253</v>
      </c>
      <c r="J123" s="9">
        <f>SUMPRODUCT(J92:J122*E92:E122)</f>
        <v>56.396</v>
      </c>
      <c r="K123" s="9">
        <f>SUMPRODUCT(K92:K122*E92:E122)</f>
        <v>39.463</v>
      </c>
      <c r="L123" s="9"/>
      <c r="M123" s="9"/>
      <c r="N123" s="18"/>
    </row>
    <row r="124" ht="17.25" customHeight="1" spans="1:14">
      <c r="A124" s="9"/>
      <c r="B124" s="9" t="s">
        <v>122</v>
      </c>
      <c r="C124" s="9" t="s">
        <v>168</v>
      </c>
      <c r="D124" s="10" t="s">
        <v>17</v>
      </c>
      <c r="E124" s="14">
        <v>1</v>
      </c>
      <c r="F124" s="9">
        <f>E124*SUMPRODUCT(F92:F122*E92:E122)</f>
        <v>0.478952</v>
      </c>
      <c r="G124" s="10">
        <v>2536.87</v>
      </c>
      <c r="H124" s="10">
        <v>437.49</v>
      </c>
      <c r="I124" s="10">
        <v>1487.18</v>
      </c>
      <c r="J124" s="9">
        <f>E124*SUMPRODUCT(J92:J122*E92:E122)</f>
        <v>56.396</v>
      </c>
      <c r="K124" s="9">
        <f>E124*SUMPRODUCT(K92:K122*E92:E122)</f>
        <v>39.463</v>
      </c>
      <c r="L124" s="9"/>
      <c r="M124" s="9"/>
      <c r="N124" s="18"/>
    </row>
    <row r="125" ht="17.25" customHeight="1" spans="1:14">
      <c r="A125" s="9"/>
      <c r="B125" s="9" t="s">
        <v>123</v>
      </c>
      <c r="C125" s="9" t="s">
        <v>243</v>
      </c>
      <c r="D125" s="9"/>
      <c r="E125" s="14"/>
      <c r="F125" s="9"/>
      <c r="G125" s="9">
        <f>G124</f>
        <v>2536.87</v>
      </c>
      <c r="H125" s="9">
        <f>H124</f>
        <v>437.49</v>
      </c>
      <c r="I125" s="9">
        <f>I124</f>
        <v>1487.18</v>
      </c>
      <c r="J125" s="9">
        <f>J124</f>
        <v>56.396</v>
      </c>
      <c r="K125" s="9">
        <f>K124</f>
        <v>39.463</v>
      </c>
      <c r="L125" s="9"/>
      <c r="M125" s="9"/>
      <c r="N125" s="19"/>
    </row>
    <row r="126" ht="23" customHeight="1" spans="1:14">
      <c r="A126" s="6" t="s">
        <v>254</v>
      </c>
      <c r="B126" s="6" t="s">
        <v>255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16"/>
    </row>
    <row r="127" ht="17.25" customHeight="1" spans="1:14">
      <c r="A127" s="7" t="s">
        <v>256</v>
      </c>
      <c r="B127" s="8" t="s">
        <v>257</v>
      </c>
      <c r="C127" s="8"/>
      <c r="D127" s="7"/>
      <c r="E127" s="12"/>
      <c r="F127" s="7"/>
      <c r="G127" s="7"/>
      <c r="J127" s="7"/>
      <c r="K127" s="7"/>
      <c r="L127" s="7"/>
      <c r="M127" s="7"/>
      <c r="N127" s="17"/>
    </row>
    <row r="128" ht="17.25" customHeight="1" spans="1:14">
      <c r="A128" s="7"/>
      <c r="B128" s="7" t="s">
        <v>258</v>
      </c>
      <c r="C128" s="7" t="s">
        <v>259</v>
      </c>
      <c r="D128" s="7" t="s">
        <v>260</v>
      </c>
      <c r="E128" s="12">
        <v>1</v>
      </c>
      <c r="F128" s="13">
        <v>0.167975808</v>
      </c>
      <c r="G128" s="7"/>
      <c r="H128" s="7"/>
      <c r="I128" s="7"/>
      <c r="J128" s="7">
        <v>25.5</v>
      </c>
      <c r="K128" s="7">
        <v>17.57</v>
      </c>
      <c r="L128" s="7" t="s">
        <v>34</v>
      </c>
      <c r="M128" s="7" t="s">
        <v>35</v>
      </c>
      <c r="N128" s="17" t="s">
        <v>36</v>
      </c>
    </row>
    <row r="129" ht="17.25" customHeight="1" spans="1:14">
      <c r="A129" s="7"/>
      <c r="B129" s="7" t="s">
        <v>261</v>
      </c>
      <c r="C129" s="7" t="s">
        <v>262</v>
      </c>
      <c r="D129" s="7" t="s">
        <v>263</v>
      </c>
      <c r="E129" s="12">
        <v>2</v>
      </c>
      <c r="F129" s="13"/>
      <c r="G129" s="7"/>
      <c r="H129" s="7"/>
      <c r="I129" s="7"/>
      <c r="J129" s="7">
        <v>0.15</v>
      </c>
      <c r="K129" s="7">
        <v>0.15</v>
      </c>
      <c r="L129" s="7" t="s">
        <v>11</v>
      </c>
      <c r="M129" s="7" t="s">
        <v>40</v>
      </c>
      <c r="N129" s="17" t="s">
        <v>41</v>
      </c>
    </row>
    <row r="130" ht="17.25" customHeight="1" spans="1:14">
      <c r="A130" s="7"/>
      <c r="B130" s="7" t="s">
        <v>264</v>
      </c>
      <c r="C130" s="7" t="s">
        <v>265</v>
      </c>
      <c r="D130" s="7" t="s">
        <v>266</v>
      </c>
      <c r="E130" s="12">
        <v>12</v>
      </c>
      <c r="F130" s="13"/>
      <c r="G130" s="7"/>
      <c r="H130" s="7"/>
      <c r="I130" s="7"/>
      <c r="J130" s="7">
        <v>0.05</v>
      </c>
      <c r="K130" s="7">
        <v>0.05</v>
      </c>
      <c r="L130" s="7" t="s">
        <v>11</v>
      </c>
      <c r="M130" s="7" t="s">
        <v>11</v>
      </c>
      <c r="N130" s="17" t="s">
        <v>45</v>
      </c>
    </row>
    <row r="131" ht="17.25" customHeight="1" spans="1:14">
      <c r="A131" s="7"/>
      <c r="B131" s="7" t="s">
        <v>49</v>
      </c>
      <c r="C131" s="7" t="s">
        <v>50</v>
      </c>
      <c r="D131" s="7" t="s">
        <v>51</v>
      </c>
      <c r="E131" s="12">
        <v>1</v>
      </c>
      <c r="F131" s="13"/>
      <c r="G131" s="7"/>
      <c r="H131" s="7"/>
      <c r="I131" s="7"/>
      <c r="J131" s="7">
        <v>0.1</v>
      </c>
      <c r="K131" s="7">
        <v>0.1</v>
      </c>
      <c r="L131" s="7" t="s">
        <v>11</v>
      </c>
      <c r="M131" s="7" t="s">
        <v>11</v>
      </c>
      <c r="N131" s="17" t="s">
        <v>52</v>
      </c>
    </row>
    <row r="132" ht="17.25" customHeight="1" spans="1:14">
      <c r="A132" s="7"/>
      <c r="B132" s="7" t="s">
        <v>267</v>
      </c>
      <c r="C132" s="7" t="s">
        <v>268</v>
      </c>
      <c r="D132" s="7" t="s">
        <v>269</v>
      </c>
      <c r="E132" s="12">
        <v>2</v>
      </c>
      <c r="F132" s="13"/>
      <c r="G132" s="7"/>
      <c r="H132" s="7"/>
      <c r="I132" s="7"/>
      <c r="J132" s="7">
        <v>0.06</v>
      </c>
      <c r="K132" s="7">
        <v>0.06</v>
      </c>
      <c r="L132" s="7" t="s">
        <v>40</v>
      </c>
      <c r="M132" s="7" t="s">
        <v>11</v>
      </c>
      <c r="N132" s="17" t="s">
        <v>11</v>
      </c>
    </row>
    <row r="133" ht="17.25" customHeight="1" spans="1:14">
      <c r="A133" s="7"/>
      <c r="B133" s="7" t="s">
        <v>270</v>
      </c>
      <c r="C133" s="7" t="s">
        <v>271</v>
      </c>
      <c r="D133" s="7" t="s">
        <v>272</v>
      </c>
      <c r="E133" s="12">
        <v>5</v>
      </c>
      <c r="F133" s="13"/>
      <c r="G133" s="7"/>
      <c r="H133" s="7"/>
      <c r="I133" s="7"/>
      <c r="J133" s="7">
        <v>0.2</v>
      </c>
      <c r="K133" s="7">
        <v>0.2</v>
      </c>
      <c r="L133" s="7" t="s">
        <v>11</v>
      </c>
      <c r="M133" s="7" t="s">
        <v>11</v>
      </c>
      <c r="N133" s="17" t="s">
        <v>273</v>
      </c>
    </row>
    <row r="134" ht="17.25" customHeight="1" spans="1:14">
      <c r="A134" s="7"/>
      <c r="B134" s="7" t="s">
        <v>56</v>
      </c>
      <c r="C134" s="7" t="s">
        <v>57</v>
      </c>
      <c r="D134" s="7" t="s">
        <v>58</v>
      </c>
      <c r="E134" s="12">
        <v>1</v>
      </c>
      <c r="F134" s="13"/>
      <c r="G134" s="7"/>
      <c r="H134" s="7"/>
      <c r="I134" s="7"/>
      <c r="J134" s="7">
        <v>0.35</v>
      </c>
      <c r="K134" s="7">
        <v>0.35</v>
      </c>
      <c r="L134" s="7" t="s">
        <v>11</v>
      </c>
      <c r="M134" s="7" t="s">
        <v>11</v>
      </c>
      <c r="N134" s="17" t="s">
        <v>52</v>
      </c>
    </row>
    <row r="135" ht="17.25" customHeight="1" spans="1:14">
      <c r="A135" s="7"/>
      <c r="B135" s="7" t="s">
        <v>59</v>
      </c>
      <c r="C135" s="7" t="s">
        <v>60</v>
      </c>
      <c r="D135" s="7" t="s">
        <v>61</v>
      </c>
      <c r="E135" s="12">
        <v>1</v>
      </c>
      <c r="F135" s="13"/>
      <c r="G135" s="7"/>
      <c r="H135" s="7"/>
      <c r="I135" s="7"/>
      <c r="J135" s="7">
        <v>0.11</v>
      </c>
      <c r="K135" s="7">
        <v>0.11</v>
      </c>
      <c r="L135" s="7" t="s">
        <v>11</v>
      </c>
      <c r="M135" s="7" t="s">
        <v>11</v>
      </c>
      <c r="N135" s="17" t="s">
        <v>11</v>
      </c>
    </row>
    <row r="136" ht="17.25" customHeight="1" spans="1:14">
      <c r="A136" s="7"/>
      <c r="B136" s="7" t="s">
        <v>274</v>
      </c>
      <c r="C136" s="7" t="s">
        <v>275</v>
      </c>
      <c r="D136" s="7" t="s">
        <v>276</v>
      </c>
      <c r="E136" s="12">
        <v>2</v>
      </c>
      <c r="F136" s="13"/>
      <c r="G136" s="7"/>
      <c r="H136" s="7"/>
      <c r="I136" s="7"/>
      <c r="J136" s="7">
        <v>0.12</v>
      </c>
      <c r="K136" s="7">
        <v>0.12</v>
      </c>
      <c r="L136" s="7" t="s">
        <v>11</v>
      </c>
      <c r="M136" s="7" t="s">
        <v>11</v>
      </c>
      <c r="N136" s="17" t="s">
        <v>11</v>
      </c>
    </row>
    <row r="137" ht="17.25" customHeight="1" spans="1:14">
      <c r="A137" s="7"/>
      <c r="B137" s="7" t="s">
        <v>277</v>
      </c>
      <c r="C137" s="7" t="s">
        <v>278</v>
      </c>
      <c r="D137" s="7" t="s">
        <v>279</v>
      </c>
      <c r="E137" s="12">
        <v>4</v>
      </c>
      <c r="F137" s="13"/>
      <c r="G137" s="7"/>
      <c r="H137" s="7"/>
      <c r="I137" s="7"/>
      <c r="J137" s="7">
        <v>0.03</v>
      </c>
      <c r="K137" s="7">
        <v>0.03</v>
      </c>
      <c r="L137" s="7" t="s">
        <v>11</v>
      </c>
      <c r="M137" s="7" t="s">
        <v>11</v>
      </c>
      <c r="N137" s="17" t="s">
        <v>72</v>
      </c>
    </row>
    <row r="138" ht="17.25" customHeight="1" spans="1:14">
      <c r="A138" s="7"/>
      <c r="B138" s="7" t="s">
        <v>73</v>
      </c>
      <c r="C138" s="7" t="s">
        <v>74</v>
      </c>
      <c r="D138" s="7" t="s">
        <v>75</v>
      </c>
      <c r="E138" s="12">
        <v>2</v>
      </c>
      <c r="F138" s="13"/>
      <c r="G138" s="7"/>
      <c r="H138" s="7"/>
      <c r="I138" s="7"/>
      <c r="J138" s="7">
        <v>1.33</v>
      </c>
      <c r="K138" s="7">
        <v>1.33</v>
      </c>
      <c r="L138" s="7" t="s">
        <v>11</v>
      </c>
      <c r="M138" s="7" t="s">
        <v>11</v>
      </c>
      <c r="N138" s="17" t="s">
        <v>11</v>
      </c>
    </row>
    <row r="139" ht="17.25" customHeight="1" spans="1:14">
      <c r="A139" s="7"/>
      <c r="B139" s="7" t="s">
        <v>76</v>
      </c>
      <c r="C139" s="7" t="s">
        <v>77</v>
      </c>
      <c r="D139" s="7" t="s">
        <v>78</v>
      </c>
      <c r="E139" s="12">
        <v>2</v>
      </c>
      <c r="F139" s="13"/>
      <c r="G139" s="7"/>
      <c r="H139" s="7"/>
      <c r="I139" s="7"/>
      <c r="J139" s="7">
        <v>0.18</v>
      </c>
      <c r="K139" s="7">
        <v>0.18</v>
      </c>
      <c r="L139" s="7" t="s">
        <v>11</v>
      </c>
      <c r="M139" s="7" t="s">
        <v>11</v>
      </c>
      <c r="N139" s="17" t="s">
        <v>11</v>
      </c>
    </row>
    <row r="140" ht="17.25" customHeight="1" spans="1:14">
      <c r="A140" s="7"/>
      <c r="B140" s="7" t="s">
        <v>79</v>
      </c>
      <c r="C140" s="7" t="s">
        <v>80</v>
      </c>
      <c r="D140" s="7" t="s">
        <v>81</v>
      </c>
      <c r="E140" s="12">
        <v>2</v>
      </c>
      <c r="F140" s="13"/>
      <c r="G140" s="7"/>
      <c r="H140" s="7"/>
      <c r="I140" s="7"/>
      <c r="J140" s="7">
        <v>0.01</v>
      </c>
      <c r="K140" s="7">
        <v>0.01</v>
      </c>
      <c r="L140" s="7" t="s">
        <v>11</v>
      </c>
      <c r="M140" s="7" t="s">
        <v>11</v>
      </c>
      <c r="N140" s="17" t="s">
        <v>11</v>
      </c>
    </row>
    <row r="141" ht="17.25" customHeight="1" spans="1:14">
      <c r="A141" s="7"/>
      <c r="B141" s="7" t="s">
        <v>82</v>
      </c>
      <c r="C141" s="7" t="s">
        <v>83</v>
      </c>
      <c r="D141" s="7" t="s">
        <v>84</v>
      </c>
      <c r="E141" s="12">
        <v>4</v>
      </c>
      <c r="F141" s="13"/>
      <c r="G141" s="7"/>
      <c r="H141" s="7"/>
      <c r="I141" s="7"/>
      <c r="J141" s="7">
        <v>0.3</v>
      </c>
      <c r="K141" s="7">
        <v>0.3</v>
      </c>
      <c r="L141" s="7" t="s">
        <v>11</v>
      </c>
      <c r="M141" s="7" t="s">
        <v>11</v>
      </c>
      <c r="N141" s="17" t="s">
        <v>85</v>
      </c>
    </row>
    <row r="142" ht="17.25" customHeight="1" spans="1:14">
      <c r="A142" s="7"/>
      <c r="B142" s="7" t="s">
        <v>280</v>
      </c>
      <c r="C142" s="7" t="s">
        <v>281</v>
      </c>
      <c r="D142" s="7" t="s">
        <v>282</v>
      </c>
      <c r="E142" s="12">
        <v>2</v>
      </c>
      <c r="F142" s="13"/>
      <c r="G142" s="7"/>
      <c r="H142" s="7"/>
      <c r="I142" s="7"/>
      <c r="J142" s="7">
        <v>0.43</v>
      </c>
      <c r="K142" s="7">
        <v>0.43</v>
      </c>
      <c r="L142" s="7" t="s">
        <v>11</v>
      </c>
      <c r="M142" s="7" t="s">
        <v>11</v>
      </c>
      <c r="N142" s="17" t="s">
        <v>11</v>
      </c>
    </row>
    <row r="143" ht="17.25" customHeight="1" spans="1:14">
      <c r="A143" s="7"/>
      <c r="B143" s="7" t="s">
        <v>92</v>
      </c>
      <c r="C143" s="7" t="s">
        <v>93</v>
      </c>
      <c r="D143" s="7" t="s">
        <v>94</v>
      </c>
      <c r="E143" s="12">
        <v>1</v>
      </c>
      <c r="F143" s="13"/>
      <c r="G143" s="7"/>
      <c r="H143" s="7"/>
      <c r="I143" s="7"/>
      <c r="J143" s="7">
        <v>0.08</v>
      </c>
      <c r="K143" s="7">
        <v>0.08</v>
      </c>
      <c r="L143" s="7" t="s">
        <v>11</v>
      </c>
      <c r="M143" s="7" t="s">
        <v>11</v>
      </c>
      <c r="N143" s="17" t="s">
        <v>68</v>
      </c>
    </row>
    <row r="144" ht="17.25" customHeight="1" spans="1:14">
      <c r="A144" s="7"/>
      <c r="B144" s="7" t="s">
        <v>95</v>
      </c>
      <c r="C144" s="7" t="s">
        <v>96</v>
      </c>
      <c r="D144" s="7" t="s">
        <v>97</v>
      </c>
      <c r="E144" s="12">
        <v>1</v>
      </c>
      <c r="F144" s="13"/>
      <c r="G144" s="7"/>
      <c r="H144" s="7"/>
      <c r="I144" s="7"/>
      <c r="J144" s="7">
        <v>0.35</v>
      </c>
      <c r="K144" s="7">
        <v>0.35</v>
      </c>
      <c r="L144" s="7" t="s">
        <v>11</v>
      </c>
      <c r="M144" s="7" t="s">
        <v>11</v>
      </c>
      <c r="N144" s="17" t="s">
        <v>68</v>
      </c>
    </row>
    <row r="145" ht="17.25" customHeight="1" spans="1:14">
      <c r="A145" s="7"/>
      <c r="B145" s="7" t="s">
        <v>98</v>
      </c>
      <c r="C145" s="7" t="s">
        <v>99</v>
      </c>
      <c r="D145" s="7" t="s">
        <v>100</v>
      </c>
      <c r="E145" s="12">
        <v>1</v>
      </c>
      <c r="F145" s="13"/>
      <c r="G145" s="7"/>
      <c r="H145" s="7"/>
      <c r="I145" s="7"/>
      <c r="J145" s="7">
        <v>6.1</v>
      </c>
      <c r="K145" s="7">
        <v>6.1</v>
      </c>
      <c r="L145" s="7" t="s">
        <v>11</v>
      </c>
      <c r="M145" s="7" t="s">
        <v>11</v>
      </c>
      <c r="N145" s="17" t="s">
        <v>101</v>
      </c>
    </row>
    <row r="146" ht="17.25" customHeight="1" spans="1:14">
      <c r="A146" s="7"/>
      <c r="B146" s="7" t="s">
        <v>102</v>
      </c>
      <c r="C146" s="7" t="s">
        <v>103</v>
      </c>
      <c r="D146" s="7" t="s">
        <v>104</v>
      </c>
      <c r="E146" s="12">
        <v>1</v>
      </c>
      <c r="F146" s="13"/>
      <c r="G146" s="7"/>
      <c r="H146" s="7"/>
      <c r="I146" s="7"/>
      <c r="J146" s="7">
        <v>0.01</v>
      </c>
      <c r="K146" s="7">
        <v>0.01</v>
      </c>
      <c r="L146" s="7" t="s">
        <v>11</v>
      </c>
      <c r="M146" s="7" t="s">
        <v>11</v>
      </c>
      <c r="N146" s="17" t="s">
        <v>11</v>
      </c>
    </row>
    <row r="147" ht="17.25" customHeight="1" spans="1:14">
      <c r="A147" s="7"/>
      <c r="B147" s="7" t="s">
        <v>105</v>
      </c>
      <c r="C147" s="7" t="s">
        <v>106</v>
      </c>
      <c r="D147" s="7" t="s">
        <v>107</v>
      </c>
      <c r="E147" s="12">
        <v>1</v>
      </c>
      <c r="F147" s="13"/>
      <c r="G147" s="7"/>
      <c r="H147" s="7"/>
      <c r="I147" s="7"/>
      <c r="J147" s="7">
        <v>0.03</v>
      </c>
      <c r="K147" s="7">
        <v>0.03</v>
      </c>
      <c r="L147" s="7" t="s">
        <v>11</v>
      </c>
      <c r="M147" s="7" t="s">
        <v>11</v>
      </c>
      <c r="N147" s="17" t="s">
        <v>11</v>
      </c>
    </row>
    <row r="148" ht="17.25" customHeight="1" spans="1:14">
      <c r="A148" s="7"/>
      <c r="B148" s="7" t="s">
        <v>108</v>
      </c>
      <c r="C148" s="7" t="s">
        <v>109</v>
      </c>
      <c r="D148" s="7" t="s">
        <v>110</v>
      </c>
      <c r="E148" s="12">
        <v>1</v>
      </c>
      <c r="F148" s="13"/>
      <c r="G148" s="7"/>
      <c r="H148" s="7"/>
      <c r="I148" s="7"/>
      <c r="J148" s="7">
        <v>0.026</v>
      </c>
      <c r="K148" s="7">
        <v>0.026</v>
      </c>
      <c r="L148" s="7" t="s">
        <v>11</v>
      </c>
      <c r="M148" s="7" t="s">
        <v>11</v>
      </c>
      <c r="N148" s="17" t="s">
        <v>11</v>
      </c>
    </row>
    <row r="149" ht="17.25" customHeight="1" spans="1:14">
      <c r="A149" s="7"/>
      <c r="B149" s="7" t="s">
        <v>111</v>
      </c>
      <c r="C149" s="7" t="s">
        <v>112</v>
      </c>
      <c r="D149" s="7" t="s">
        <v>113</v>
      </c>
      <c r="E149" s="12">
        <v>1</v>
      </c>
      <c r="F149" s="13"/>
      <c r="G149" s="7"/>
      <c r="H149" s="7"/>
      <c r="I149" s="7"/>
      <c r="J149" s="7">
        <v>0.06</v>
      </c>
      <c r="K149" s="7">
        <v>0.06</v>
      </c>
      <c r="L149" s="7" t="s">
        <v>11</v>
      </c>
      <c r="M149" s="7" t="s">
        <v>11</v>
      </c>
      <c r="N149" s="17" t="s">
        <v>11</v>
      </c>
    </row>
    <row r="150" ht="17.25" customHeight="1" spans="1:14">
      <c r="A150" s="7"/>
      <c r="B150" s="7" t="s">
        <v>117</v>
      </c>
      <c r="C150" s="7" t="s">
        <v>118</v>
      </c>
      <c r="D150" s="7" t="s">
        <v>119</v>
      </c>
      <c r="E150" s="12">
        <v>1</v>
      </c>
      <c r="F150" s="7"/>
      <c r="G150" s="7"/>
      <c r="H150" s="7"/>
      <c r="I150" s="7"/>
      <c r="J150" s="7"/>
      <c r="K150" s="7"/>
      <c r="L150" s="7"/>
      <c r="M150" s="7"/>
      <c r="N150" s="17"/>
    </row>
    <row r="151" ht="17.25" customHeight="1" spans="1:14">
      <c r="A151" s="9"/>
      <c r="B151" s="9" t="s">
        <v>257</v>
      </c>
      <c r="C151" s="9"/>
      <c r="D151" s="10" t="s">
        <v>120</v>
      </c>
      <c r="E151" s="14">
        <v>1</v>
      </c>
      <c r="F151" s="9">
        <f>SUMPRODUCT(F128:F150*E128:E150)</f>
        <v>0.167975808</v>
      </c>
      <c r="G151" s="10" t="s">
        <v>283</v>
      </c>
      <c r="H151" s="10" t="s">
        <v>284</v>
      </c>
      <c r="I151" s="10" t="s">
        <v>285</v>
      </c>
      <c r="J151" s="9">
        <f>SUMPRODUCT(J128:J150*E128:E150)</f>
        <v>40.196</v>
      </c>
      <c r="K151" s="9">
        <f>SUMPRODUCT(K128:K150*E128:E150)</f>
        <v>32.266</v>
      </c>
      <c r="L151" s="9"/>
      <c r="M151" s="9"/>
      <c r="N151" s="18"/>
    </row>
    <row r="152" ht="17.25" customHeight="1" spans="1:14">
      <c r="A152" s="9"/>
      <c r="B152" s="9" t="s">
        <v>122</v>
      </c>
      <c r="C152" s="9" t="s">
        <v>257</v>
      </c>
      <c r="D152" s="10" t="s">
        <v>17</v>
      </c>
      <c r="E152" s="14">
        <v>5</v>
      </c>
      <c r="F152" s="9">
        <f>E152*SUMPRODUCT(F128:F150*E128:E150)</f>
        <v>0.83987904</v>
      </c>
      <c r="G152" s="10">
        <v>4505.05</v>
      </c>
      <c r="H152" s="10">
        <v>1584.45</v>
      </c>
      <c r="I152" s="10">
        <v>3044.75</v>
      </c>
      <c r="J152" s="9">
        <f>E152*SUMPRODUCT(J128:J150*E128:E150)</f>
        <v>200.98</v>
      </c>
      <c r="K152" s="9">
        <f>E152*SUMPRODUCT(K128:K150*E128:E150)</f>
        <v>161.33</v>
      </c>
      <c r="L152" s="9"/>
      <c r="M152" s="9"/>
      <c r="N152" s="18"/>
    </row>
    <row r="153" ht="17.25" customHeight="1" spans="1:14">
      <c r="A153" s="9"/>
      <c r="B153" s="9" t="s">
        <v>123</v>
      </c>
      <c r="C153" s="9" t="s">
        <v>255</v>
      </c>
      <c r="D153" s="9"/>
      <c r="E153" s="14"/>
      <c r="F153" s="9"/>
      <c r="G153" s="9">
        <f>G152</f>
        <v>4505.05</v>
      </c>
      <c r="H153" s="9">
        <f>H152</f>
        <v>1584.45</v>
      </c>
      <c r="I153" s="9">
        <f>I152</f>
        <v>3044.75</v>
      </c>
      <c r="J153" s="9">
        <f>J152</f>
        <v>200.98</v>
      </c>
      <c r="K153" s="9">
        <f>K152</f>
        <v>161.33</v>
      </c>
      <c r="L153" s="9"/>
      <c r="M153" s="9"/>
      <c r="N153" s="19"/>
    </row>
    <row r="154" ht="23" customHeight="1" spans="1:14">
      <c r="A154" s="6" t="s">
        <v>286</v>
      </c>
      <c r="B154" s="6" t="s">
        <v>287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16"/>
    </row>
    <row r="155" ht="17.25" customHeight="1" spans="1:14">
      <c r="A155" s="7" t="s">
        <v>288</v>
      </c>
      <c r="B155" s="8" t="s">
        <v>257</v>
      </c>
      <c r="C155" s="8"/>
      <c r="D155" s="7"/>
      <c r="E155" s="12"/>
      <c r="F155" s="7"/>
      <c r="G155" s="7"/>
      <c r="J155" s="7"/>
      <c r="K155" s="7"/>
      <c r="L155" s="7"/>
      <c r="M155" s="7"/>
      <c r="N155" s="17"/>
    </row>
    <row r="156" ht="17.25" customHeight="1" spans="1:14">
      <c r="A156" s="7"/>
      <c r="B156" s="7" t="s">
        <v>258</v>
      </c>
      <c r="C156" s="7" t="s">
        <v>259</v>
      </c>
      <c r="D156" s="7" t="s">
        <v>260</v>
      </c>
      <c r="E156" s="12">
        <v>1</v>
      </c>
      <c r="F156" s="13">
        <v>0.167975808</v>
      </c>
      <c r="G156" s="7"/>
      <c r="H156" s="7"/>
      <c r="I156" s="7"/>
      <c r="J156" s="7">
        <v>25.5</v>
      </c>
      <c r="K156" s="7">
        <v>17.57</v>
      </c>
      <c r="L156" s="7" t="s">
        <v>34</v>
      </c>
      <c r="M156" s="7" t="s">
        <v>35</v>
      </c>
      <c r="N156" s="17" t="s">
        <v>36</v>
      </c>
    </row>
    <row r="157" ht="17.25" customHeight="1" spans="1:14">
      <c r="A157" s="7"/>
      <c r="B157" s="7" t="s">
        <v>261</v>
      </c>
      <c r="C157" s="7" t="s">
        <v>262</v>
      </c>
      <c r="D157" s="7" t="s">
        <v>263</v>
      </c>
      <c r="E157" s="12">
        <v>2</v>
      </c>
      <c r="F157" s="13"/>
      <c r="G157" s="7"/>
      <c r="H157" s="7"/>
      <c r="I157" s="7"/>
      <c r="J157" s="7">
        <v>0.15</v>
      </c>
      <c r="K157" s="7">
        <v>0.15</v>
      </c>
      <c r="L157" s="7" t="s">
        <v>11</v>
      </c>
      <c r="M157" s="7" t="s">
        <v>40</v>
      </c>
      <c r="N157" s="17" t="s">
        <v>41</v>
      </c>
    </row>
    <row r="158" ht="17.25" customHeight="1" spans="1:14">
      <c r="A158" s="7"/>
      <c r="B158" s="7" t="s">
        <v>264</v>
      </c>
      <c r="C158" s="7" t="s">
        <v>265</v>
      </c>
      <c r="D158" s="7" t="s">
        <v>266</v>
      </c>
      <c r="E158" s="12">
        <v>4</v>
      </c>
      <c r="F158" s="13"/>
      <c r="G158" s="7"/>
      <c r="H158" s="7"/>
      <c r="I158" s="7"/>
      <c r="J158" s="7">
        <v>0.05</v>
      </c>
      <c r="K158" s="7">
        <v>0.05</v>
      </c>
      <c r="L158" s="7" t="s">
        <v>11</v>
      </c>
      <c r="M158" s="7" t="s">
        <v>11</v>
      </c>
      <c r="N158" s="17" t="s">
        <v>45</v>
      </c>
    </row>
    <row r="159" ht="17.25" customHeight="1" spans="1:14">
      <c r="A159" s="7"/>
      <c r="B159" s="7" t="s">
        <v>49</v>
      </c>
      <c r="C159" s="7" t="s">
        <v>50</v>
      </c>
      <c r="D159" s="7" t="s">
        <v>51</v>
      </c>
      <c r="E159" s="12">
        <v>1</v>
      </c>
      <c r="F159" s="13"/>
      <c r="G159" s="7"/>
      <c r="H159" s="7"/>
      <c r="I159" s="7"/>
      <c r="J159" s="7">
        <v>0.1</v>
      </c>
      <c r="K159" s="7">
        <v>0.1</v>
      </c>
      <c r="L159" s="7" t="s">
        <v>11</v>
      </c>
      <c r="M159" s="7" t="s">
        <v>11</v>
      </c>
      <c r="N159" s="17" t="s">
        <v>52</v>
      </c>
    </row>
    <row r="160" ht="17.25" customHeight="1" spans="1:14">
      <c r="A160" s="7"/>
      <c r="B160" s="7" t="s">
        <v>267</v>
      </c>
      <c r="C160" s="7" t="s">
        <v>268</v>
      </c>
      <c r="D160" s="7" t="s">
        <v>269</v>
      </c>
      <c r="E160" s="12">
        <v>2</v>
      </c>
      <c r="F160" s="13"/>
      <c r="G160" s="7"/>
      <c r="H160" s="7"/>
      <c r="I160" s="7"/>
      <c r="J160" s="7">
        <v>0.06</v>
      </c>
      <c r="K160" s="7">
        <v>0.06</v>
      </c>
      <c r="L160" s="7" t="s">
        <v>40</v>
      </c>
      <c r="M160" s="7" t="s">
        <v>11</v>
      </c>
      <c r="N160" s="17" t="s">
        <v>11</v>
      </c>
    </row>
    <row r="161" ht="17.25" customHeight="1" spans="1:14">
      <c r="A161" s="7"/>
      <c r="B161" s="7" t="s">
        <v>270</v>
      </c>
      <c r="C161" s="7" t="s">
        <v>271</v>
      </c>
      <c r="D161" s="7" t="s">
        <v>272</v>
      </c>
      <c r="E161" s="12">
        <v>2</v>
      </c>
      <c r="F161" s="13"/>
      <c r="G161" s="7"/>
      <c r="H161" s="7"/>
      <c r="I161" s="7"/>
      <c r="J161" s="7">
        <v>0.2</v>
      </c>
      <c r="K161" s="7">
        <v>0.2</v>
      </c>
      <c r="L161" s="7" t="s">
        <v>11</v>
      </c>
      <c r="M161" s="7" t="s">
        <v>11</v>
      </c>
      <c r="N161" s="17" t="s">
        <v>273</v>
      </c>
    </row>
    <row r="162" ht="17.25" customHeight="1" spans="1:14">
      <c r="A162" s="7"/>
      <c r="B162" s="7" t="s">
        <v>56</v>
      </c>
      <c r="C162" s="7" t="s">
        <v>57</v>
      </c>
      <c r="D162" s="7" t="s">
        <v>58</v>
      </c>
      <c r="E162" s="12">
        <v>1</v>
      </c>
      <c r="F162" s="13"/>
      <c r="G162" s="7"/>
      <c r="H162" s="7"/>
      <c r="I162" s="7"/>
      <c r="J162" s="7">
        <v>0.35</v>
      </c>
      <c r="K162" s="7">
        <v>0.35</v>
      </c>
      <c r="L162" s="7" t="s">
        <v>11</v>
      </c>
      <c r="M162" s="7" t="s">
        <v>11</v>
      </c>
      <c r="N162" s="17" t="s">
        <v>52</v>
      </c>
    </row>
    <row r="163" ht="17.25" customHeight="1" spans="1:14">
      <c r="A163" s="7"/>
      <c r="B163" s="7" t="s">
        <v>59</v>
      </c>
      <c r="C163" s="7" t="s">
        <v>60</v>
      </c>
      <c r="D163" s="7" t="s">
        <v>61</v>
      </c>
      <c r="E163" s="12">
        <v>1</v>
      </c>
      <c r="F163" s="13"/>
      <c r="G163" s="7"/>
      <c r="H163" s="7"/>
      <c r="I163" s="7"/>
      <c r="J163" s="7">
        <v>0.11</v>
      </c>
      <c r="K163" s="7">
        <v>0.11</v>
      </c>
      <c r="L163" s="7" t="s">
        <v>11</v>
      </c>
      <c r="M163" s="7" t="s">
        <v>11</v>
      </c>
      <c r="N163" s="17" t="s">
        <v>11</v>
      </c>
    </row>
    <row r="164" ht="17.25" customHeight="1" spans="1:14">
      <c r="A164" s="7"/>
      <c r="B164" s="7" t="s">
        <v>274</v>
      </c>
      <c r="C164" s="7" t="s">
        <v>275</v>
      </c>
      <c r="D164" s="7" t="s">
        <v>276</v>
      </c>
      <c r="E164" s="12">
        <v>2</v>
      </c>
      <c r="F164" s="13"/>
      <c r="G164" s="7"/>
      <c r="H164" s="7"/>
      <c r="I164" s="7"/>
      <c r="J164" s="7">
        <v>0.12</v>
      </c>
      <c r="K164" s="7">
        <v>0.12</v>
      </c>
      <c r="L164" s="7" t="s">
        <v>11</v>
      </c>
      <c r="M164" s="7" t="s">
        <v>11</v>
      </c>
      <c r="N164" s="17" t="s">
        <v>11</v>
      </c>
    </row>
    <row r="165" ht="17.25" customHeight="1" spans="1:14">
      <c r="A165" s="7"/>
      <c r="B165" s="7" t="s">
        <v>277</v>
      </c>
      <c r="C165" s="7" t="s">
        <v>278</v>
      </c>
      <c r="D165" s="7" t="s">
        <v>279</v>
      </c>
      <c r="E165" s="12">
        <v>4</v>
      </c>
      <c r="F165" s="13"/>
      <c r="G165" s="7"/>
      <c r="H165" s="7"/>
      <c r="I165" s="7"/>
      <c r="J165" s="7">
        <v>0.03</v>
      </c>
      <c r="K165" s="7">
        <v>0.03</v>
      </c>
      <c r="L165" s="7" t="s">
        <v>11</v>
      </c>
      <c r="M165" s="7" t="s">
        <v>11</v>
      </c>
      <c r="N165" s="17" t="s">
        <v>72</v>
      </c>
    </row>
    <row r="166" ht="17.25" customHeight="1" spans="1:14">
      <c r="A166" s="7"/>
      <c r="B166" s="7" t="s">
        <v>73</v>
      </c>
      <c r="C166" s="7" t="s">
        <v>74</v>
      </c>
      <c r="D166" s="7" t="s">
        <v>75</v>
      </c>
      <c r="E166" s="12">
        <v>2</v>
      </c>
      <c r="F166" s="13"/>
      <c r="G166" s="7"/>
      <c r="H166" s="7"/>
      <c r="I166" s="7"/>
      <c r="J166" s="7">
        <v>1.33</v>
      </c>
      <c r="K166" s="7">
        <v>1.33</v>
      </c>
      <c r="L166" s="7" t="s">
        <v>11</v>
      </c>
      <c r="M166" s="7" t="s">
        <v>11</v>
      </c>
      <c r="N166" s="17" t="s">
        <v>11</v>
      </c>
    </row>
    <row r="167" ht="17.25" customHeight="1" spans="1:14">
      <c r="A167" s="7"/>
      <c r="B167" s="7" t="s">
        <v>76</v>
      </c>
      <c r="C167" s="7" t="s">
        <v>77</v>
      </c>
      <c r="D167" s="7" t="s">
        <v>78</v>
      </c>
      <c r="E167" s="12">
        <v>2</v>
      </c>
      <c r="F167" s="13"/>
      <c r="G167" s="7"/>
      <c r="H167" s="7"/>
      <c r="I167" s="7"/>
      <c r="J167" s="7">
        <v>0.18</v>
      </c>
      <c r="K167" s="7">
        <v>0.18</v>
      </c>
      <c r="L167" s="7" t="s">
        <v>11</v>
      </c>
      <c r="M167" s="7" t="s">
        <v>11</v>
      </c>
      <c r="N167" s="17" t="s">
        <v>11</v>
      </c>
    </row>
    <row r="168" ht="17.25" customHeight="1" spans="1:14">
      <c r="A168" s="7"/>
      <c r="B168" s="7" t="s">
        <v>79</v>
      </c>
      <c r="C168" s="7" t="s">
        <v>80</v>
      </c>
      <c r="D168" s="7" t="s">
        <v>81</v>
      </c>
      <c r="E168" s="12">
        <v>2</v>
      </c>
      <c r="F168" s="13"/>
      <c r="G168" s="7"/>
      <c r="H168" s="7"/>
      <c r="I168" s="7"/>
      <c r="J168" s="7">
        <v>0.01</v>
      </c>
      <c r="K168" s="7">
        <v>0.01</v>
      </c>
      <c r="L168" s="7" t="s">
        <v>11</v>
      </c>
      <c r="M168" s="7" t="s">
        <v>11</v>
      </c>
      <c r="N168" s="17" t="s">
        <v>11</v>
      </c>
    </row>
    <row r="169" ht="17.25" customHeight="1" spans="1:14">
      <c r="A169" s="7"/>
      <c r="B169" s="7" t="s">
        <v>82</v>
      </c>
      <c r="C169" s="7" t="s">
        <v>83</v>
      </c>
      <c r="D169" s="7" t="s">
        <v>84</v>
      </c>
      <c r="E169" s="12">
        <v>4</v>
      </c>
      <c r="F169" s="13"/>
      <c r="G169" s="7"/>
      <c r="H169" s="7"/>
      <c r="I169" s="7"/>
      <c r="J169" s="7">
        <v>0.3</v>
      </c>
      <c r="K169" s="7">
        <v>0.3</v>
      </c>
      <c r="L169" s="7" t="s">
        <v>11</v>
      </c>
      <c r="M169" s="7" t="s">
        <v>11</v>
      </c>
      <c r="N169" s="17" t="s">
        <v>85</v>
      </c>
    </row>
    <row r="170" ht="17.25" customHeight="1" spans="1:14">
      <c r="A170" s="7"/>
      <c r="B170" s="7" t="s">
        <v>280</v>
      </c>
      <c r="C170" s="7" t="s">
        <v>281</v>
      </c>
      <c r="D170" s="7" t="s">
        <v>282</v>
      </c>
      <c r="E170" s="12">
        <v>2</v>
      </c>
      <c r="F170" s="13"/>
      <c r="G170" s="7"/>
      <c r="H170" s="7"/>
      <c r="I170" s="7"/>
      <c r="J170" s="7">
        <v>0.43</v>
      </c>
      <c r="K170" s="7">
        <v>0.43</v>
      </c>
      <c r="L170" s="7" t="s">
        <v>11</v>
      </c>
      <c r="M170" s="7" t="s">
        <v>11</v>
      </c>
      <c r="N170" s="17" t="s">
        <v>11</v>
      </c>
    </row>
    <row r="171" ht="17.25" customHeight="1" spans="1:14">
      <c r="A171" s="7"/>
      <c r="B171" s="7" t="s">
        <v>92</v>
      </c>
      <c r="C171" s="7" t="s">
        <v>93</v>
      </c>
      <c r="D171" s="7" t="s">
        <v>94</v>
      </c>
      <c r="E171" s="12">
        <v>1</v>
      </c>
      <c r="F171" s="13"/>
      <c r="G171" s="7"/>
      <c r="H171" s="7"/>
      <c r="I171" s="7"/>
      <c r="J171" s="7">
        <v>0.08</v>
      </c>
      <c r="K171" s="7">
        <v>0.08</v>
      </c>
      <c r="L171" s="7" t="s">
        <v>11</v>
      </c>
      <c r="M171" s="7" t="s">
        <v>11</v>
      </c>
      <c r="N171" s="17" t="s">
        <v>68</v>
      </c>
    </row>
    <row r="172" ht="17.25" customHeight="1" spans="1:14">
      <c r="A172" s="7"/>
      <c r="B172" s="7" t="s">
        <v>95</v>
      </c>
      <c r="C172" s="7" t="s">
        <v>96</v>
      </c>
      <c r="D172" s="7" t="s">
        <v>97</v>
      </c>
      <c r="E172" s="12">
        <v>1</v>
      </c>
      <c r="F172" s="13"/>
      <c r="G172" s="7"/>
      <c r="H172" s="7"/>
      <c r="I172" s="7"/>
      <c r="J172" s="7">
        <v>0.35</v>
      </c>
      <c r="K172" s="7">
        <v>0.35</v>
      </c>
      <c r="L172" s="7" t="s">
        <v>11</v>
      </c>
      <c r="M172" s="7" t="s">
        <v>11</v>
      </c>
      <c r="N172" s="17" t="s">
        <v>68</v>
      </c>
    </row>
    <row r="173" ht="17.25" customHeight="1" spans="1:14">
      <c r="A173" s="7"/>
      <c r="B173" s="7" t="s">
        <v>98</v>
      </c>
      <c r="C173" s="7" t="s">
        <v>99</v>
      </c>
      <c r="D173" s="7" t="s">
        <v>100</v>
      </c>
      <c r="E173" s="12">
        <v>1</v>
      </c>
      <c r="F173" s="13"/>
      <c r="G173" s="7"/>
      <c r="H173" s="7"/>
      <c r="I173" s="7"/>
      <c r="J173" s="7">
        <v>6.1</v>
      </c>
      <c r="K173" s="7">
        <v>6.1</v>
      </c>
      <c r="L173" s="7" t="s">
        <v>11</v>
      </c>
      <c r="M173" s="7" t="s">
        <v>11</v>
      </c>
      <c r="N173" s="17" t="s">
        <v>101</v>
      </c>
    </row>
    <row r="174" ht="17.25" customHeight="1" spans="1:14">
      <c r="A174" s="7"/>
      <c r="B174" s="7" t="s">
        <v>102</v>
      </c>
      <c r="C174" s="7" t="s">
        <v>103</v>
      </c>
      <c r="D174" s="7" t="s">
        <v>104</v>
      </c>
      <c r="E174" s="12">
        <v>1</v>
      </c>
      <c r="F174" s="13"/>
      <c r="G174" s="7"/>
      <c r="H174" s="7"/>
      <c r="I174" s="7"/>
      <c r="J174" s="7">
        <v>0.01</v>
      </c>
      <c r="K174" s="7">
        <v>0.01</v>
      </c>
      <c r="L174" s="7" t="s">
        <v>11</v>
      </c>
      <c r="M174" s="7" t="s">
        <v>11</v>
      </c>
      <c r="N174" s="17" t="s">
        <v>11</v>
      </c>
    </row>
    <row r="175" ht="17.25" customHeight="1" spans="1:14">
      <c r="A175" s="7"/>
      <c r="B175" s="7" t="s">
        <v>105</v>
      </c>
      <c r="C175" s="7" t="s">
        <v>106</v>
      </c>
      <c r="D175" s="7" t="s">
        <v>107</v>
      </c>
      <c r="E175" s="12">
        <v>1</v>
      </c>
      <c r="F175" s="13"/>
      <c r="G175" s="7"/>
      <c r="H175" s="7"/>
      <c r="I175" s="7"/>
      <c r="J175" s="7">
        <v>0.03</v>
      </c>
      <c r="K175" s="7">
        <v>0.03</v>
      </c>
      <c r="L175" s="7" t="s">
        <v>11</v>
      </c>
      <c r="M175" s="7" t="s">
        <v>11</v>
      </c>
      <c r="N175" s="17" t="s">
        <v>11</v>
      </c>
    </row>
    <row r="176" ht="17.25" customHeight="1" spans="1:14">
      <c r="A176" s="7"/>
      <c r="B176" s="7" t="s">
        <v>108</v>
      </c>
      <c r="C176" s="7" t="s">
        <v>109</v>
      </c>
      <c r="D176" s="7" t="s">
        <v>110</v>
      </c>
      <c r="E176" s="12">
        <v>1</v>
      </c>
      <c r="F176" s="13"/>
      <c r="G176" s="7"/>
      <c r="H176" s="7"/>
      <c r="I176" s="7"/>
      <c r="J176" s="7">
        <v>0.026</v>
      </c>
      <c r="K176" s="7">
        <v>0.026</v>
      </c>
      <c r="L176" s="7" t="s">
        <v>11</v>
      </c>
      <c r="M176" s="7" t="s">
        <v>11</v>
      </c>
      <c r="N176" s="17" t="s">
        <v>11</v>
      </c>
    </row>
    <row r="177" ht="17.25" customHeight="1" spans="1:14">
      <c r="A177" s="7"/>
      <c r="B177" s="7" t="s">
        <v>111</v>
      </c>
      <c r="C177" s="7" t="s">
        <v>112</v>
      </c>
      <c r="D177" s="7" t="s">
        <v>113</v>
      </c>
      <c r="E177" s="12">
        <v>1</v>
      </c>
      <c r="F177" s="13"/>
      <c r="G177" s="7"/>
      <c r="H177" s="7"/>
      <c r="I177" s="7"/>
      <c r="J177" s="7">
        <v>0.06</v>
      </c>
      <c r="K177" s="7">
        <v>0.06</v>
      </c>
      <c r="L177" s="7" t="s">
        <v>11</v>
      </c>
      <c r="M177" s="7" t="s">
        <v>11</v>
      </c>
      <c r="N177" s="17" t="s">
        <v>11</v>
      </c>
    </row>
    <row r="178" ht="17.25" customHeight="1" spans="1:14">
      <c r="A178" s="7"/>
      <c r="B178" s="7" t="s">
        <v>117</v>
      </c>
      <c r="C178" s="7" t="s">
        <v>118</v>
      </c>
      <c r="D178" s="7" t="s">
        <v>119</v>
      </c>
      <c r="E178" s="12">
        <v>1</v>
      </c>
      <c r="F178" s="7"/>
      <c r="G178" s="7"/>
      <c r="H178" s="7"/>
      <c r="I178" s="7"/>
      <c r="J178" s="7"/>
      <c r="K178" s="7"/>
      <c r="L178" s="7"/>
      <c r="M178" s="7"/>
      <c r="N178" s="17"/>
    </row>
    <row r="179" ht="17.25" customHeight="1" spans="1:14">
      <c r="A179" s="9"/>
      <c r="B179" s="9" t="s">
        <v>257</v>
      </c>
      <c r="C179" s="9"/>
      <c r="D179" s="10" t="s">
        <v>120</v>
      </c>
      <c r="E179" s="14">
        <v>1</v>
      </c>
      <c r="F179" s="9">
        <f>SUMPRODUCT(F156:F178*E156:E178)</f>
        <v>0.167975808</v>
      </c>
      <c r="G179" s="10" t="s">
        <v>289</v>
      </c>
      <c r="H179" s="10" t="s">
        <v>290</v>
      </c>
      <c r="I179" s="10" t="s">
        <v>291</v>
      </c>
      <c r="J179" s="9">
        <f>SUMPRODUCT(J156:J178*E156:E178)</f>
        <v>39.196</v>
      </c>
      <c r="K179" s="9">
        <f>SUMPRODUCT(K156:K178*E156:E178)</f>
        <v>31.266</v>
      </c>
      <c r="L179" s="9"/>
      <c r="M179" s="9"/>
      <c r="N179" s="18"/>
    </row>
    <row r="180" ht="17.25" customHeight="1" spans="1:14">
      <c r="A180" s="9"/>
      <c r="B180" s="9" t="s">
        <v>122</v>
      </c>
      <c r="C180" s="9" t="s">
        <v>257</v>
      </c>
      <c r="D180" s="10" t="s">
        <v>17</v>
      </c>
      <c r="E180" s="14">
        <v>3</v>
      </c>
      <c r="F180" s="9">
        <f>E180*SUMPRODUCT(F156:F178*E156:E178)</f>
        <v>0.503927424</v>
      </c>
      <c r="G180" s="10">
        <v>2465.73</v>
      </c>
      <c r="H180" s="10">
        <v>880.11</v>
      </c>
      <c r="I180" s="10">
        <v>1672.92</v>
      </c>
      <c r="J180" s="9">
        <f>E180*SUMPRODUCT(J156:J178*E156:E178)</f>
        <v>117.588</v>
      </c>
      <c r="K180" s="9">
        <f>E180*SUMPRODUCT(K156:K178*E156:E178)</f>
        <v>93.798</v>
      </c>
      <c r="L180" s="9"/>
      <c r="M180" s="9"/>
      <c r="N180" s="18"/>
    </row>
    <row r="181" ht="17.25" customHeight="1" spans="1:14">
      <c r="A181" s="9"/>
      <c r="B181" s="9" t="s">
        <v>123</v>
      </c>
      <c r="C181" s="9" t="s">
        <v>287</v>
      </c>
      <c r="D181" s="9"/>
      <c r="E181" s="14"/>
      <c r="F181" s="9"/>
      <c r="G181" s="9">
        <f>G180</f>
        <v>2465.73</v>
      </c>
      <c r="H181" s="9">
        <f>H180</f>
        <v>880.11</v>
      </c>
      <c r="I181" s="9">
        <f>I180</f>
        <v>1672.92</v>
      </c>
      <c r="J181" s="9">
        <f>J180</f>
        <v>117.588</v>
      </c>
      <c r="K181" s="9">
        <f>K180</f>
        <v>93.798</v>
      </c>
      <c r="L181" s="9"/>
      <c r="M181" s="9"/>
      <c r="N181" s="19"/>
    </row>
    <row r="182" ht="23" customHeight="1" spans="1:14">
      <c r="A182" s="6" t="s">
        <v>292</v>
      </c>
      <c r="B182" s="6" t="s">
        <v>293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16"/>
    </row>
    <row r="183" ht="17.25" customHeight="1" spans="1:14">
      <c r="A183" s="7" t="s">
        <v>294</v>
      </c>
      <c r="B183" s="8" t="s">
        <v>257</v>
      </c>
      <c r="C183" s="8"/>
      <c r="D183" s="7"/>
      <c r="E183" s="12"/>
      <c r="F183" s="7"/>
      <c r="G183" s="7"/>
      <c r="J183" s="7"/>
      <c r="K183" s="7"/>
      <c r="L183" s="7"/>
      <c r="M183" s="7"/>
      <c r="N183" s="17"/>
    </row>
    <row r="184" ht="17.25" customHeight="1" spans="1:14">
      <c r="A184" s="7"/>
      <c r="B184" s="7" t="s">
        <v>258</v>
      </c>
      <c r="C184" s="7" t="s">
        <v>259</v>
      </c>
      <c r="D184" s="7" t="s">
        <v>260</v>
      </c>
      <c r="E184" s="12">
        <v>1</v>
      </c>
      <c r="F184" s="13">
        <v>0.167975808</v>
      </c>
      <c r="G184" s="7"/>
      <c r="H184" s="7"/>
      <c r="I184" s="7"/>
      <c r="J184" s="7">
        <v>25.5</v>
      </c>
      <c r="K184" s="7">
        <v>17.57</v>
      </c>
      <c r="L184" s="7" t="s">
        <v>34</v>
      </c>
      <c r="M184" s="7" t="s">
        <v>35</v>
      </c>
      <c r="N184" s="17" t="s">
        <v>36</v>
      </c>
    </row>
    <row r="185" ht="17.25" customHeight="1" spans="1:14">
      <c r="A185" s="7"/>
      <c r="B185" s="7" t="s">
        <v>295</v>
      </c>
      <c r="C185" s="7" t="s">
        <v>296</v>
      </c>
      <c r="D185" s="7" t="s">
        <v>297</v>
      </c>
      <c r="E185" s="12">
        <v>2</v>
      </c>
      <c r="F185" s="13"/>
      <c r="G185" s="7"/>
      <c r="H185" s="7"/>
      <c r="I185" s="7"/>
      <c r="J185" s="7">
        <v>0.15</v>
      </c>
      <c r="K185" s="7">
        <v>0.15</v>
      </c>
      <c r="L185" s="7" t="s">
        <v>11</v>
      </c>
      <c r="M185" s="7" t="s">
        <v>40</v>
      </c>
      <c r="N185" s="17" t="s">
        <v>41</v>
      </c>
    </row>
    <row r="186" ht="17.25" customHeight="1" spans="1:14">
      <c r="A186" s="7"/>
      <c r="B186" s="7" t="s">
        <v>298</v>
      </c>
      <c r="C186" s="7" t="s">
        <v>299</v>
      </c>
      <c r="D186" s="7" t="s">
        <v>300</v>
      </c>
      <c r="E186" s="12">
        <v>2</v>
      </c>
      <c r="F186" s="13"/>
      <c r="G186" s="7"/>
      <c r="H186" s="7"/>
      <c r="I186" s="7"/>
      <c r="J186" s="7">
        <v>0.05</v>
      </c>
      <c r="K186" s="7">
        <v>0.05</v>
      </c>
      <c r="L186" s="7" t="s">
        <v>11</v>
      </c>
      <c r="M186" s="7" t="s">
        <v>40</v>
      </c>
      <c r="N186" s="17" t="s">
        <v>45</v>
      </c>
    </row>
    <row r="187" ht="17.25" customHeight="1" spans="1:14">
      <c r="A187" s="7"/>
      <c r="B187" s="7" t="s">
        <v>49</v>
      </c>
      <c r="C187" s="7" t="s">
        <v>50</v>
      </c>
      <c r="D187" s="7" t="s">
        <v>51</v>
      </c>
      <c r="E187" s="12">
        <v>1</v>
      </c>
      <c r="F187" s="13"/>
      <c r="G187" s="7"/>
      <c r="H187" s="7"/>
      <c r="I187" s="7"/>
      <c r="J187" s="7">
        <v>0.1</v>
      </c>
      <c r="K187" s="7">
        <v>0.1</v>
      </c>
      <c r="L187" s="7" t="s">
        <v>11</v>
      </c>
      <c r="M187" s="7" t="s">
        <v>11</v>
      </c>
      <c r="N187" s="17" t="s">
        <v>52</v>
      </c>
    </row>
    <row r="188" ht="17.25" customHeight="1" spans="1:14">
      <c r="A188" s="7"/>
      <c r="B188" s="7" t="s">
        <v>267</v>
      </c>
      <c r="C188" s="7" t="s">
        <v>268</v>
      </c>
      <c r="D188" s="7" t="s">
        <v>269</v>
      </c>
      <c r="E188" s="12">
        <v>2</v>
      </c>
      <c r="F188" s="13"/>
      <c r="G188" s="7"/>
      <c r="H188" s="7"/>
      <c r="I188" s="7"/>
      <c r="J188" s="7">
        <v>0.06</v>
      </c>
      <c r="K188" s="7">
        <v>0.06</v>
      </c>
      <c r="L188" s="7" t="s">
        <v>40</v>
      </c>
      <c r="M188" s="7" t="s">
        <v>11</v>
      </c>
      <c r="N188" s="17" t="s">
        <v>11</v>
      </c>
    </row>
    <row r="189" ht="17.25" customHeight="1" spans="1:14">
      <c r="A189" s="7"/>
      <c r="B189" s="7" t="s">
        <v>270</v>
      </c>
      <c r="C189" s="7" t="s">
        <v>271</v>
      </c>
      <c r="D189" s="7" t="s">
        <v>272</v>
      </c>
      <c r="E189" s="12">
        <v>2</v>
      </c>
      <c r="F189" s="13"/>
      <c r="G189" s="7"/>
      <c r="H189" s="7"/>
      <c r="I189" s="7"/>
      <c r="J189" s="7">
        <v>0.2</v>
      </c>
      <c r="K189" s="7">
        <v>0.2</v>
      </c>
      <c r="L189" s="7" t="s">
        <v>11</v>
      </c>
      <c r="M189" s="7" t="s">
        <v>11</v>
      </c>
      <c r="N189" s="17" t="s">
        <v>273</v>
      </c>
    </row>
    <row r="190" ht="17.25" customHeight="1" spans="1:14">
      <c r="A190" s="7"/>
      <c r="B190" s="7" t="s">
        <v>56</v>
      </c>
      <c r="C190" s="7" t="s">
        <v>57</v>
      </c>
      <c r="D190" s="7" t="s">
        <v>58</v>
      </c>
      <c r="E190" s="12">
        <v>1</v>
      </c>
      <c r="F190" s="13"/>
      <c r="G190" s="7"/>
      <c r="H190" s="7"/>
      <c r="I190" s="7"/>
      <c r="J190" s="7">
        <v>0.35</v>
      </c>
      <c r="K190" s="7">
        <v>0.35</v>
      </c>
      <c r="L190" s="7" t="s">
        <v>11</v>
      </c>
      <c r="M190" s="7" t="s">
        <v>11</v>
      </c>
      <c r="N190" s="17" t="s">
        <v>52</v>
      </c>
    </row>
    <row r="191" ht="17.25" customHeight="1" spans="1:14">
      <c r="A191" s="7"/>
      <c r="B191" s="7" t="s">
        <v>59</v>
      </c>
      <c r="C191" s="7" t="s">
        <v>60</v>
      </c>
      <c r="D191" s="7" t="s">
        <v>61</v>
      </c>
      <c r="E191" s="12">
        <v>1</v>
      </c>
      <c r="F191" s="13"/>
      <c r="G191" s="7"/>
      <c r="H191" s="7"/>
      <c r="I191" s="7"/>
      <c r="J191" s="7">
        <v>0.11</v>
      </c>
      <c r="K191" s="7">
        <v>0.11</v>
      </c>
      <c r="L191" s="7" t="s">
        <v>11</v>
      </c>
      <c r="M191" s="7" t="s">
        <v>11</v>
      </c>
      <c r="N191" s="17" t="s">
        <v>11</v>
      </c>
    </row>
    <row r="192" ht="17.25" customHeight="1" spans="1:14">
      <c r="A192" s="7"/>
      <c r="B192" s="7" t="s">
        <v>274</v>
      </c>
      <c r="C192" s="7" t="s">
        <v>275</v>
      </c>
      <c r="D192" s="7" t="s">
        <v>276</v>
      </c>
      <c r="E192" s="12">
        <v>2</v>
      </c>
      <c r="F192" s="13"/>
      <c r="G192" s="7"/>
      <c r="H192" s="7"/>
      <c r="I192" s="7"/>
      <c r="J192" s="7">
        <v>0.12</v>
      </c>
      <c r="K192" s="7">
        <v>0.12</v>
      </c>
      <c r="L192" s="7" t="s">
        <v>11</v>
      </c>
      <c r="M192" s="7" t="s">
        <v>11</v>
      </c>
      <c r="N192" s="17" t="s">
        <v>11</v>
      </c>
    </row>
    <row r="193" ht="17.25" customHeight="1" spans="1:14">
      <c r="A193" s="7"/>
      <c r="B193" s="7" t="s">
        <v>277</v>
      </c>
      <c r="C193" s="7" t="s">
        <v>278</v>
      </c>
      <c r="D193" s="7" t="s">
        <v>279</v>
      </c>
      <c r="E193" s="12">
        <v>4</v>
      </c>
      <c r="F193" s="13"/>
      <c r="G193" s="7"/>
      <c r="H193" s="7"/>
      <c r="I193" s="7"/>
      <c r="J193" s="7">
        <v>0.03</v>
      </c>
      <c r="K193" s="7">
        <v>0.03</v>
      </c>
      <c r="L193" s="7" t="s">
        <v>11</v>
      </c>
      <c r="M193" s="7" t="s">
        <v>11</v>
      </c>
      <c r="N193" s="17" t="s">
        <v>72</v>
      </c>
    </row>
    <row r="194" ht="17.25" customHeight="1" spans="1:14">
      <c r="A194" s="7"/>
      <c r="B194" s="7" t="s">
        <v>73</v>
      </c>
      <c r="C194" s="7" t="s">
        <v>74</v>
      </c>
      <c r="D194" s="7" t="s">
        <v>75</v>
      </c>
      <c r="E194" s="12">
        <v>2</v>
      </c>
      <c r="F194" s="13"/>
      <c r="G194" s="7"/>
      <c r="H194" s="7"/>
      <c r="I194" s="7"/>
      <c r="J194" s="7">
        <v>1.33</v>
      </c>
      <c r="K194" s="7">
        <v>1.33</v>
      </c>
      <c r="L194" s="7" t="s">
        <v>11</v>
      </c>
      <c r="M194" s="7" t="s">
        <v>11</v>
      </c>
      <c r="N194" s="17" t="s">
        <v>11</v>
      </c>
    </row>
    <row r="195" ht="17.25" customHeight="1" spans="1:14">
      <c r="A195" s="7"/>
      <c r="B195" s="7" t="s">
        <v>76</v>
      </c>
      <c r="C195" s="7" t="s">
        <v>77</v>
      </c>
      <c r="D195" s="7" t="s">
        <v>78</v>
      </c>
      <c r="E195" s="12">
        <v>2</v>
      </c>
      <c r="F195" s="13"/>
      <c r="G195" s="7"/>
      <c r="H195" s="7"/>
      <c r="I195" s="7"/>
      <c r="J195" s="7">
        <v>0.18</v>
      </c>
      <c r="K195" s="7">
        <v>0.18</v>
      </c>
      <c r="L195" s="7" t="s">
        <v>11</v>
      </c>
      <c r="M195" s="7" t="s">
        <v>11</v>
      </c>
      <c r="N195" s="17" t="s">
        <v>11</v>
      </c>
    </row>
    <row r="196" ht="17.25" customHeight="1" spans="1:14">
      <c r="A196" s="7"/>
      <c r="B196" s="7" t="s">
        <v>79</v>
      </c>
      <c r="C196" s="7" t="s">
        <v>80</v>
      </c>
      <c r="D196" s="7" t="s">
        <v>81</v>
      </c>
      <c r="E196" s="12">
        <v>2</v>
      </c>
      <c r="F196" s="13"/>
      <c r="G196" s="7"/>
      <c r="H196" s="7"/>
      <c r="I196" s="7"/>
      <c r="J196" s="7">
        <v>0.01</v>
      </c>
      <c r="K196" s="7">
        <v>0.01</v>
      </c>
      <c r="L196" s="7" t="s">
        <v>11</v>
      </c>
      <c r="M196" s="7" t="s">
        <v>11</v>
      </c>
      <c r="N196" s="17" t="s">
        <v>11</v>
      </c>
    </row>
    <row r="197" ht="17.25" customHeight="1" spans="1:14">
      <c r="A197" s="7"/>
      <c r="B197" s="7" t="s">
        <v>82</v>
      </c>
      <c r="C197" s="7" t="s">
        <v>83</v>
      </c>
      <c r="D197" s="7" t="s">
        <v>84</v>
      </c>
      <c r="E197" s="12">
        <v>4</v>
      </c>
      <c r="F197" s="13"/>
      <c r="G197" s="7"/>
      <c r="H197" s="7"/>
      <c r="I197" s="7"/>
      <c r="J197" s="7">
        <v>0.3</v>
      </c>
      <c r="K197" s="7">
        <v>0.3</v>
      </c>
      <c r="L197" s="7" t="s">
        <v>11</v>
      </c>
      <c r="M197" s="7" t="s">
        <v>11</v>
      </c>
      <c r="N197" s="17" t="s">
        <v>85</v>
      </c>
    </row>
    <row r="198" ht="17.25" customHeight="1" spans="1:14">
      <c r="A198" s="7"/>
      <c r="B198" s="7" t="s">
        <v>301</v>
      </c>
      <c r="C198" s="7" t="s">
        <v>302</v>
      </c>
      <c r="D198" s="7" t="s">
        <v>303</v>
      </c>
      <c r="E198" s="12">
        <v>2</v>
      </c>
      <c r="F198" s="13"/>
      <c r="G198" s="7"/>
      <c r="H198" s="7"/>
      <c r="I198" s="7"/>
      <c r="J198" s="7">
        <v>0.44</v>
      </c>
      <c r="K198" s="7">
        <v>0.44</v>
      </c>
      <c r="L198" s="7" t="s">
        <v>11</v>
      </c>
      <c r="M198" s="7" t="s">
        <v>11</v>
      </c>
      <c r="N198" s="17" t="s">
        <v>11</v>
      </c>
    </row>
    <row r="199" ht="17.25" customHeight="1" spans="1:14">
      <c r="A199" s="7"/>
      <c r="B199" s="7" t="s">
        <v>92</v>
      </c>
      <c r="C199" s="7" t="s">
        <v>93</v>
      </c>
      <c r="D199" s="7" t="s">
        <v>94</v>
      </c>
      <c r="E199" s="12">
        <v>1</v>
      </c>
      <c r="F199" s="13"/>
      <c r="G199" s="7"/>
      <c r="H199" s="7"/>
      <c r="I199" s="7"/>
      <c r="J199" s="7">
        <v>0.08</v>
      </c>
      <c r="K199" s="7">
        <v>0.08</v>
      </c>
      <c r="L199" s="7" t="s">
        <v>11</v>
      </c>
      <c r="M199" s="7" t="s">
        <v>11</v>
      </c>
      <c r="N199" s="17" t="s">
        <v>68</v>
      </c>
    </row>
    <row r="200" ht="17.25" customHeight="1" spans="1:14">
      <c r="A200" s="7"/>
      <c r="B200" s="7" t="s">
        <v>95</v>
      </c>
      <c r="C200" s="7" t="s">
        <v>96</v>
      </c>
      <c r="D200" s="7" t="s">
        <v>97</v>
      </c>
      <c r="E200" s="12">
        <v>1</v>
      </c>
      <c r="F200" s="13"/>
      <c r="G200" s="7"/>
      <c r="H200" s="7"/>
      <c r="I200" s="7"/>
      <c r="J200" s="7">
        <v>0.35</v>
      </c>
      <c r="K200" s="7">
        <v>0.35</v>
      </c>
      <c r="L200" s="7" t="s">
        <v>11</v>
      </c>
      <c r="M200" s="7" t="s">
        <v>11</v>
      </c>
      <c r="N200" s="17" t="s">
        <v>68</v>
      </c>
    </row>
    <row r="201" ht="17.25" customHeight="1" spans="1:14">
      <c r="A201" s="7"/>
      <c r="B201" s="7" t="s">
        <v>98</v>
      </c>
      <c r="C201" s="7" t="s">
        <v>99</v>
      </c>
      <c r="D201" s="7" t="s">
        <v>100</v>
      </c>
      <c r="E201" s="12">
        <v>1</v>
      </c>
      <c r="F201" s="13"/>
      <c r="G201" s="7"/>
      <c r="H201" s="7"/>
      <c r="I201" s="7"/>
      <c r="J201" s="7">
        <v>6.1</v>
      </c>
      <c r="K201" s="7">
        <v>6.1</v>
      </c>
      <c r="L201" s="7" t="s">
        <v>11</v>
      </c>
      <c r="M201" s="7" t="s">
        <v>11</v>
      </c>
      <c r="N201" s="17" t="s">
        <v>101</v>
      </c>
    </row>
    <row r="202" ht="17.25" customHeight="1" spans="1:14">
      <c r="A202" s="7"/>
      <c r="B202" s="7" t="s">
        <v>102</v>
      </c>
      <c r="C202" s="7" t="s">
        <v>103</v>
      </c>
      <c r="D202" s="7" t="s">
        <v>104</v>
      </c>
      <c r="E202" s="12">
        <v>1</v>
      </c>
      <c r="F202" s="13"/>
      <c r="G202" s="7"/>
      <c r="H202" s="7"/>
      <c r="I202" s="7"/>
      <c r="J202" s="7">
        <v>0.01</v>
      </c>
      <c r="K202" s="7">
        <v>0.01</v>
      </c>
      <c r="L202" s="7" t="s">
        <v>11</v>
      </c>
      <c r="M202" s="7" t="s">
        <v>11</v>
      </c>
      <c r="N202" s="17" t="s">
        <v>11</v>
      </c>
    </row>
    <row r="203" ht="17.25" customHeight="1" spans="1:14">
      <c r="A203" s="7"/>
      <c r="B203" s="7" t="s">
        <v>105</v>
      </c>
      <c r="C203" s="7" t="s">
        <v>106</v>
      </c>
      <c r="D203" s="7" t="s">
        <v>107</v>
      </c>
      <c r="E203" s="12">
        <v>1</v>
      </c>
      <c r="F203" s="13"/>
      <c r="G203" s="7"/>
      <c r="H203" s="7"/>
      <c r="I203" s="7"/>
      <c r="J203" s="7">
        <v>0.03</v>
      </c>
      <c r="K203" s="7">
        <v>0.03</v>
      </c>
      <c r="L203" s="7" t="s">
        <v>11</v>
      </c>
      <c r="M203" s="7" t="s">
        <v>11</v>
      </c>
      <c r="N203" s="17" t="s">
        <v>11</v>
      </c>
    </row>
    <row r="204" ht="17.25" customHeight="1" spans="1:14">
      <c r="A204" s="7"/>
      <c r="B204" s="7" t="s">
        <v>108</v>
      </c>
      <c r="C204" s="7" t="s">
        <v>109</v>
      </c>
      <c r="D204" s="7" t="s">
        <v>110</v>
      </c>
      <c r="E204" s="12">
        <v>1</v>
      </c>
      <c r="F204" s="13"/>
      <c r="G204" s="7"/>
      <c r="H204" s="7"/>
      <c r="I204" s="7"/>
      <c r="J204" s="7">
        <v>0.026</v>
      </c>
      <c r="K204" s="7">
        <v>0.026</v>
      </c>
      <c r="L204" s="7" t="s">
        <v>11</v>
      </c>
      <c r="M204" s="7" t="s">
        <v>11</v>
      </c>
      <c r="N204" s="17" t="s">
        <v>11</v>
      </c>
    </row>
    <row r="205" ht="17.25" customHeight="1" spans="1:14">
      <c r="A205" s="7"/>
      <c r="B205" s="7" t="s">
        <v>111</v>
      </c>
      <c r="C205" s="7" t="s">
        <v>112</v>
      </c>
      <c r="D205" s="7" t="s">
        <v>113</v>
      </c>
      <c r="E205" s="12">
        <v>1</v>
      </c>
      <c r="F205" s="13"/>
      <c r="G205" s="7"/>
      <c r="H205" s="7"/>
      <c r="I205" s="7"/>
      <c r="J205" s="7">
        <v>0.06</v>
      </c>
      <c r="K205" s="7">
        <v>0.06</v>
      </c>
      <c r="L205" s="7" t="s">
        <v>11</v>
      </c>
      <c r="M205" s="7" t="s">
        <v>11</v>
      </c>
      <c r="N205" s="17" t="s">
        <v>11</v>
      </c>
    </row>
    <row r="206" ht="17.25" customHeight="1" spans="1:14">
      <c r="A206" s="7"/>
      <c r="B206" s="7" t="s">
        <v>117</v>
      </c>
      <c r="C206" s="7" t="s">
        <v>118</v>
      </c>
      <c r="D206" s="7" t="s">
        <v>119</v>
      </c>
      <c r="E206" s="12">
        <v>1</v>
      </c>
      <c r="F206" s="7"/>
      <c r="G206" s="7"/>
      <c r="H206" s="7"/>
      <c r="I206" s="7"/>
      <c r="J206" s="7"/>
      <c r="K206" s="7"/>
      <c r="L206" s="7"/>
      <c r="M206" s="7"/>
      <c r="N206" s="17"/>
    </row>
    <row r="207" ht="17.25" customHeight="1" spans="1:14">
      <c r="A207" s="9"/>
      <c r="B207" s="9" t="s">
        <v>257</v>
      </c>
      <c r="C207" s="9"/>
      <c r="D207" s="10" t="s">
        <v>120</v>
      </c>
      <c r="E207" s="14">
        <v>1</v>
      </c>
      <c r="F207" s="9">
        <f>SUMPRODUCT(F184:F206*E184:E206)</f>
        <v>0.167975808</v>
      </c>
      <c r="G207" s="10" t="s">
        <v>304</v>
      </c>
      <c r="H207" s="10" t="s">
        <v>305</v>
      </c>
      <c r="I207" s="10" t="s">
        <v>306</v>
      </c>
      <c r="J207" s="9">
        <f>SUMPRODUCT(J184:J206*E184:E206)</f>
        <v>39.116</v>
      </c>
      <c r="K207" s="9">
        <f>SUMPRODUCT(K184:K206*E184:E206)</f>
        <v>31.186</v>
      </c>
      <c r="L207" s="9"/>
      <c r="M207" s="9"/>
      <c r="N207" s="18"/>
    </row>
    <row r="208" ht="17.25" customHeight="1" spans="1:14">
      <c r="A208" s="9"/>
      <c r="B208" s="9" t="s">
        <v>122</v>
      </c>
      <c r="C208" s="9" t="s">
        <v>257</v>
      </c>
      <c r="D208" s="10" t="s">
        <v>17</v>
      </c>
      <c r="E208" s="14">
        <v>2</v>
      </c>
      <c r="F208" s="9">
        <f>E208*SUMPRODUCT(F184:F206*E184:E206)</f>
        <v>0.335951616</v>
      </c>
      <c r="G208" s="10">
        <v>1121.98</v>
      </c>
      <c r="H208" s="10">
        <v>426.1</v>
      </c>
      <c r="I208" s="10">
        <v>774.04</v>
      </c>
      <c r="J208" s="9">
        <f>E208*SUMPRODUCT(J184:J206*E184:E206)</f>
        <v>78.232</v>
      </c>
      <c r="K208" s="9">
        <f>E208*SUMPRODUCT(K184:K206*E184:E206)</f>
        <v>62.372</v>
      </c>
      <c r="L208" s="9"/>
      <c r="M208" s="9"/>
      <c r="N208" s="18"/>
    </row>
    <row r="209" ht="17.25" customHeight="1" spans="1:14">
      <c r="A209" s="9"/>
      <c r="B209" s="9" t="s">
        <v>123</v>
      </c>
      <c r="C209" s="9" t="s">
        <v>293</v>
      </c>
      <c r="D209" s="9"/>
      <c r="E209" s="14"/>
      <c r="F209" s="9"/>
      <c r="G209" s="9">
        <f>G208</f>
        <v>1121.98</v>
      </c>
      <c r="H209" s="9">
        <f>H208</f>
        <v>426.1</v>
      </c>
      <c r="I209" s="9">
        <f>I208</f>
        <v>774.04</v>
      </c>
      <c r="J209" s="9">
        <f>J208</f>
        <v>78.232</v>
      </c>
      <c r="K209" s="9">
        <f>K208</f>
        <v>62.372</v>
      </c>
      <c r="L209" s="9"/>
      <c r="M209" s="9"/>
      <c r="N209" s="19"/>
    </row>
    <row r="210" ht="23" customHeight="1" spans="1:14">
      <c r="A210" s="6" t="s">
        <v>307</v>
      </c>
      <c r="B210" s="6" t="s">
        <v>308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16"/>
    </row>
    <row r="211" ht="17.25" customHeight="1" spans="1:14">
      <c r="A211" s="7" t="s">
        <v>309</v>
      </c>
      <c r="B211" s="8" t="s">
        <v>310</v>
      </c>
      <c r="C211" s="8"/>
      <c r="D211" s="7"/>
      <c r="E211" s="12"/>
      <c r="F211" s="7"/>
      <c r="G211" s="7"/>
      <c r="J211" s="7"/>
      <c r="K211" s="7"/>
      <c r="L211" s="7"/>
      <c r="M211" s="7"/>
      <c r="N211" s="17"/>
    </row>
    <row r="212" ht="17.25" customHeight="1" spans="1:14">
      <c r="A212" s="7"/>
      <c r="B212" s="7" t="s">
        <v>311</v>
      </c>
      <c r="C212" s="7" t="s">
        <v>312</v>
      </c>
      <c r="D212" s="7" t="s">
        <v>313</v>
      </c>
      <c r="E212" s="12">
        <v>1</v>
      </c>
      <c r="F212" s="13">
        <v>0.38836075</v>
      </c>
      <c r="G212" s="7"/>
      <c r="H212" s="7"/>
      <c r="I212" s="7"/>
      <c r="J212" s="7">
        <v>52.3</v>
      </c>
      <c r="K212" s="20"/>
      <c r="L212" s="7" t="s">
        <v>314</v>
      </c>
      <c r="M212" s="7" t="s">
        <v>315</v>
      </c>
      <c r="N212" s="17" t="s">
        <v>316</v>
      </c>
    </row>
    <row r="213" ht="17.25" customHeight="1" spans="1:14">
      <c r="A213" s="7"/>
      <c r="B213" s="7" t="s">
        <v>317</v>
      </c>
      <c r="C213" s="7" t="s">
        <v>318</v>
      </c>
      <c r="D213" s="7" t="s">
        <v>319</v>
      </c>
      <c r="E213" s="12">
        <v>4</v>
      </c>
      <c r="F213" s="13"/>
      <c r="G213" s="7"/>
      <c r="H213" s="7"/>
      <c r="I213" s="7"/>
      <c r="J213" s="20"/>
      <c r="K213" s="20"/>
      <c r="L213" s="7" t="s">
        <v>320</v>
      </c>
      <c r="M213" s="7" t="s">
        <v>320</v>
      </c>
      <c r="N213" s="17" t="s">
        <v>11</v>
      </c>
    </row>
    <row r="214" ht="17.25" customHeight="1" spans="1:14">
      <c r="A214" s="7"/>
      <c r="B214" s="7" t="s">
        <v>321</v>
      </c>
      <c r="C214" s="7" t="s">
        <v>322</v>
      </c>
      <c r="D214" s="7" t="s">
        <v>323</v>
      </c>
      <c r="E214" s="12">
        <v>4</v>
      </c>
      <c r="F214" s="13"/>
      <c r="G214" s="7"/>
      <c r="H214" s="7"/>
      <c r="I214" s="7"/>
      <c r="J214" s="7">
        <v>0.15</v>
      </c>
      <c r="K214" s="7">
        <v>0.15</v>
      </c>
      <c r="L214" s="7" t="s">
        <v>11</v>
      </c>
      <c r="M214" s="7" t="s">
        <v>11</v>
      </c>
      <c r="N214" s="17" t="s">
        <v>41</v>
      </c>
    </row>
    <row r="215" ht="17.25" customHeight="1" spans="1:14">
      <c r="A215" s="7"/>
      <c r="B215" s="7" t="s">
        <v>324</v>
      </c>
      <c r="C215" s="7" t="s">
        <v>325</v>
      </c>
      <c r="D215" s="7" t="s">
        <v>326</v>
      </c>
      <c r="E215" s="12">
        <v>16</v>
      </c>
      <c r="F215" s="13"/>
      <c r="G215" s="7"/>
      <c r="H215" s="7"/>
      <c r="I215" s="7"/>
      <c r="J215" s="7">
        <v>0.05</v>
      </c>
      <c r="K215" s="7">
        <v>0.05</v>
      </c>
      <c r="L215" s="7" t="s">
        <v>11</v>
      </c>
      <c r="M215" s="7" t="s">
        <v>11</v>
      </c>
      <c r="N215" s="17" t="s">
        <v>45</v>
      </c>
    </row>
    <row r="216" ht="17.25" customHeight="1" spans="1:14">
      <c r="A216" s="7"/>
      <c r="B216" s="7" t="s">
        <v>327</v>
      </c>
      <c r="C216" s="7" t="s">
        <v>328</v>
      </c>
      <c r="D216" s="7" t="s">
        <v>329</v>
      </c>
      <c r="E216" s="12">
        <v>2</v>
      </c>
      <c r="F216" s="13"/>
      <c r="G216" s="7"/>
      <c r="H216" s="7"/>
      <c r="I216" s="7"/>
      <c r="J216" s="7">
        <v>1.75</v>
      </c>
      <c r="K216" s="7">
        <v>1.75</v>
      </c>
      <c r="L216" s="7" t="s">
        <v>11</v>
      </c>
      <c r="M216" s="7" t="s">
        <v>11</v>
      </c>
      <c r="N216" s="17" t="s">
        <v>330</v>
      </c>
    </row>
    <row r="217" ht="17.25" customHeight="1" spans="1:14">
      <c r="A217" s="7"/>
      <c r="B217" s="7" t="s">
        <v>331</v>
      </c>
      <c r="C217" s="7" t="s">
        <v>332</v>
      </c>
      <c r="D217" s="7" t="s">
        <v>333</v>
      </c>
      <c r="E217" s="12">
        <v>32</v>
      </c>
      <c r="F217" s="13"/>
      <c r="G217" s="7"/>
      <c r="H217" s="7"/>
      <c r="I217" s="7"/>
      <c r="J217" s="20"/>
      <c r="K217" s="20"/>
      <c r="L217" s="7" t="s">
        <v>11</v>
      </c>
      <c r="M217" s="7" t="s">
        <v>40</v>
      </c>
      <c r="N217" s="17" t="s">
        <v>334</v>
      </c>
    </row>
    <row r="218" ht="17.25" customHeight="1" spans="1:14">
      <c r="A218" s="7"/>
      <c r="B218" s="7" t="s">
        <v>335</v>
      </c>
      <c r="C218" s="7" t="s">
        <v>336</v>
      </c>
      <c r="D218" s="7" t="s">
        <v>337</v>
      </c>
      <c r="E218" s="12">
        <v>8</v>
      </c>
      <c r="F218" s="13"/>
      <c r="G218" s="7"/>
      <c r="H218" s="7"/>
      <c r="I218" s="7"/>
      <c r="J218" s="7">
        <v>0.1</v>
      </c>
      <c r="K218" s="7">
        <v>0.1</v>
      </c>
      <c r="L218" s="7" t="s">
        <v>11</v>
      </c>
      <c r="M218" s="7" t="s">
        <v>11</v>
      </c>
      <c r="N218" s="17" t="s">
        <v>334</v>
      </c>
    </row>
    <row r="219" ht="17.25" customHeight="1" spans="1:14">
      <c r="A219" s="7"/>
      <c r="B219" s="7" t="s">
        <v>338</v>
      </c>
      <c r="C219" s="7" t="s">
        <v>339</v>
      </c>
      <c r="D219" s="7" t="s">
        <v>340</v>
      </c>
      <c r="E219" s="12">
        <v>8</v>
      </c>
      <c r="F219" s="13"/>
      <c r="G219" s="7"/>
      <c r="H219" s="7"/>
      <c r="I219" s="7"/>
      <c r="J219" s="7">
        <v>0.101</v>
      </c>
      <c r="K219" s="7">
        <v>0.101</v>
      </c>
      <c r="L219" s="7" t="s">
        <v>11</v>
      </c>
      <c r="M219" s="7" t="s">
        <v>11</v>
      </c>
      <c r="N219" s="17" t="s">
        <v>146</v>
      </c>
    </row>
    <row r="220" ht="17.25" customHeight="1" spans="1:14">
      <c r="A220" s="7"/>
      <c r="B220" s="7" t="s">
        <v>69</v>
      </c>
      <c r="C220" s="7" t="s">
        <v>70</v>
      </c>
      <c r="D220" s="7" t="s">
        <v>71</v>
      </c>
      <c r="E220" s="12">
        <v>16</v>
      </c>
      <c r="F220" s="13"/>
      <c r="G220" s="7"/>
      <c r="H220" s="7"/>
      <c r="I220" s="7"/>
      <c r="J220" s="7">
        <v>0.03</v>
      </c>
      <c r="K220" s="7">
        <v>0.03</v>
      </c>
      <c r="L220" s="7" t="s">
        <v>11</v>
      </c>
      <c r="M220" s="7" t="s">
        <v>11</v>
      </c>
      <c r="N220" s="17" t="s">
        <v>72</v>
      </c>
    </row>
    <row r="221" ht="17.25" customHeight="1" spans="1:14">
      <c r="A221" s="7"/>
      <c r="B221" s="7" t="s">
        <v>341</v>
      </c>
      <c r="C221" s="7" t="s">
        <v>342</v>
      </c>
      <c r="D221" s="7" t="s">
        <v>343</v>
      </c>
      <c r="E221" s="12">
        <v>2</v>
      </c>
      <c r="F221" s="13"/>
      <c r="G221" s="7"/>
      <c r="H221" s="7"/>
      <c r="I221" s="7"/>
      <c r="J221" s="7">
        <v>1</v>
      </c>
      <c r="K221" s="7">
        <v>1</v>
      </c>
      <c r="L221" s="7" t="s">
        <v>11</v>
      </c>
      <c r="M221" s="7" t="s">
        <v>11</v>
      </c>
      <c r="N221" s="17" t="s">
        <v>68</v>
      </c>
    </row>
    <row r="222" ht="17.25" customHeight="1" spans="1:14">
      <c r="A222" s="7"/>
      <c r="B222" s="7" t="s">
        <v>344</v>
      </c>
      <c r="C222" s="7" t="s">
        <v>345</v>
      </c>
      <c r="D222" s="7" t="s">
        <v>346</v>
      </c>
      <c r="E222" s="12">
        <v>4</v>
      </c>
      <c r="F222" s="13"/>
      <c r="G222" s="7"/>
      <c r="H222" s="7"/>
      <c r="I222" s="7"/>
      <c r="J222" s="7">
        <v>0.27</v>
      </c>
      <c r="K222" s="7">
        <v>0.27</v>
      </c>
      <c r="L222" s="7" t="s">
        <v>11</v>
      </c>
      <c r="M222" s="7" t="s">
        <v>11</v>
      </c>
      <c r="N222" s="17" t="s">
        <v>11</v>
      </c>
    </row>
    <row r="223" ht="17.25" customHeight="1" spans="1:14">
      <c r="A223" s="7"/>
      <c r="B223" s="7" t="s">
        <v>347</v>
      </c>
      <c r="C223" s="7" t="s">
        <v>348</v>
      </c>
      <c r="D223" s="7" t="s">
        <v>349</v>
      </c>
      <c r="E223" s="12">
        <v>12</v>
      </c>
      <c r="F223" s="13"/>
      <c r="G223" s="7"/>
      <c r="H223" s="7"/>
      <c r="I223" s="7"/>
      <c r="J223" s="7">
        <v>0.15</v>
      </c>
      <c r="K223" s="7">
        <v>0.15</v>
      </c>
      <c r="L223" s="7" t="s">
        <v>11</v>
      </c>
      <c r="M223" s="7" t="s">
        <v>11</v>
      </c>
      <c r="N223" s="17" t="s">
        <v>350</v>
      </c>
    </row>
    <row r="224" ht="17.25" customHeight="1" spans="1:14">
      <c r="A224" s="7"/>
      <c r="B224" s="7" t="s">
        <v>351</v>
      </c>
      <c r="C224" s="7" t="s">
        <v>352</v>
      </c>
      <c r="D224" s="7" t="s">
        <v>353</v>
      </c>
      <c r="E224" s="12">
        <v>1</v>
      </c>
      <c r="F224" s="13">
        <v>0.00033</v>
      </c>
      <c r="G224" s="7"/>
      <c r="H224" s="7"/>
      <c r="I224" s="7"/>
      <c r="J224" s="7">
        <v>0</v>
      </c>
      <c r="K224" s="7">
        <v>0</v>
      </c>
      <c r="L224" s="7" t="s">
        <v>11</v>
      </c>
      <c r="M224" s="7" t="s">
        <v>11</v>
      </c>
      <c r="N224" s="17" t="s">
        <v>354</v>
      </c>
    </row>
    <row r="225" ht="17.25" customHeight="1" spans="1:14">
      <c r="A225" s="7"/>
      <c r="B225" s="7" t="s">
        <v>355</v>
      </c>
      <c r="C225" s="7" t="s">
        <v>356</v>
      </c>
      <c r="D225" s="7" t="s">
        <v>357</v>
      </c>
      <c r="E225" s="12">
        <v>1</v>
      </c>
      <c r="F225" s="13">
        <v>0.00033</v>
      </c>
      <c r="G225" s="7"/>
      <c r="H225" s="7"/>
      <c r="I225" s="7"/>
      <c r="J225" s="7">
        <v>0</v>
      </c>
      <c r="K225" s="7">
        <v>0</v>
      </c>
      <c r="L225" s="7" t="s">
        <v>11</v>
      </c>
      <c r="M225" s="7" t="s">
        <v>11</v>
      </c>
      <c r="N225" s="17" t="s">
        <v>354</v>
      </c>
    </row>
    <row r="226" ht="17.25" customHeight="1" spans="1:14">
      <c r="A226" s="7"/>
      <c r="B226" s="7" t="s">
        <v>358</v>
      </c>
      <c r="C226" s="7" t="s">
        <v>359</v>
      </c>
      <c r="D226" s="7" t="s">
        <v>360</v>
      </c>
      <c r="E226" s="12">
        <v>1</v>
      </c>
      <c r="F226" s="13"/>
      <c r="G226" s="7"/>
      <c r="H226" s="7"/>
      <c r="I226" s="7"/>
      <c r="J226" s="7">
        <v>4.8</v>
      </c>
      <c r="K226" s="7">
        <v>4.8</v>
      </c>
      <c r="L226" s="7" t="s">
        <v>11</v>
      </c>
      <c r="M226" s="7" t="s">
        <v>11</v>
      </c>
      <c r="N226" s="17" t="s">
        <v>361</v>
      </c>
    </row>
    <row r="227" ht="17.25" customHeight="1" spans="1:14">
      <c r="A227" s="7"/>
      <c r="B227" s="7" t="s">
        <v>362</v>
      </c>
      <c r="C227" s="7" t="s">
        <v>363</v>
      </c>
      <c r="D227" s="7" t="s">
        <v>364</v>
      </c>
      <c r="E227" s="12">
        <v>1</v>
      </c>
      <c r="F227" s="13"/>
      <c r="G227" s="7">
        <v>0</v>
      </c>
      <c r="H227" s="7">
        <v>0</v>
      </c>
      <c r="I227" s="7">
        <v>0</v>
      </c>
      <c r="J227" s="20"/>
      <c r="K227" s="7">
        <v>0</v>
      </c>
      <c r="L227" s="7" t="s">
        <v>11</v>
      </c>
      <c r="M227" s="7" t="s">
        <v>40</v>
      </c>
      <c r="N227" s="17" t="s">
        <v>11</v>
      </c>
    </row>
    <row r="228" ht="17.25" customHeight="1" spans="1:14">
      <c r="A228" s="7"/>
      <c r="B228" s="7" t="s">
        <v>365</v>
      </c>
      <c r="C228" s="7" t="s">
        <v>366</v>
      </c>
      <c r="D228" s="7" t="s">
        <v>367</v>
      </c>
      <c r="E228" s="12">
        <v>1</v>
      </c>
      <c r="F228" s="13"/>
      <c r="G228" s="7">
        <v>0</v>
      </c>
      <c r="H228" s="7">
        <v>0</v>
      </c>
      <c r="I228" s="7">
        <v>0</v>
      </c>
      <c r="J228" s="20"/>
      <c r="K228" s="7">
        <v>0</v>
      </c>
      <c r="L228" s="7" t="s">
        <v>11</v>
      </c>
      <c r="M228" s="7" t="s">
        <v>40</v>
      </c>
      <c r="N228" s="17" t="s">
        <v>11</v>
      </c>
    </row>
    <row r="229" ht="17.25" customHeight="1" spans="1:14">
      <c r="A229" s="7"/>
      <c r="B229" s="7" t="s">
        <v>368</v>
      </c>
      <c r="C229" s="7" t="s">
        <v>369</v>
      </c>
      <c r="D229" s="7" t="s">
        <v>370</v>
      </c>
      <c r="E229" s="12">
        <v>1</v>
      </c>
      <c r="F229" s="13"/>
      <c r="G229" s="7">
        <v>0</v>
      </c>
      <c r="H229" s="7">
        <v>0</v>
      </c>
      <c r="I229" s="7">
        <v>0</v>
      </c>
      <c r="J229" s="20"/>
      <c r="K229" s="7">
        <v>0</v>
      </c>
      <c r="L229" s="7" t="s">
        <v>11</v>
      </c>
      <c r="M229" s="7" t="s">
        <v>40</v>
      </c>
      <c r="N229" s="17" t="s">
        <v>11</v>
      </c>
    </row>
    <row r="230" ht="17.25" customHeight="1" spans="1:14">
      <c r="A230" s="7"/>
      <c r="B230" s="7" t="s">
        <v>371</v>
      </c>
      <c r="C230" s="7" t="s">
        <v>372</v>
      </c>
      <c r="D230" s="7" t="s">
        <v>373</v>
      </c>
      <c r="E230" s="12">
        <v>1</v>
      </c>
      <c r="F230" s="7"/>
      <c r="G230" s="7"/>
      <c r="H230" s="7"/>
      <c r="I230" s="7"/>
      <c r="J230" s="7"/>
      <c r="K230" s="7"/>
      <c r="L230" s="7"/>
      <c r="M230" s="7"/>
      <c r="N230" s="17"/>
    </row>
    <row r="231" ht="17.25" customHeight="1" spans="1:14">
      <c r="A231" s="7"/>
      <c r="B231" s="7" t="s">
        <v>374</v>
      </c>
      <c r="C231" s="7" t="s">
        <v>375</v>
      </c>
      <c r="D231" s="7" t="s">
        <v>376</v>
      </c>
      <c r="E231" s="12">
        <v>1</v>
      </c>
      <c r="F231" s="7"/>
      <c r="G231" s="7"/>
      <c r="H231" s="7"/>
      <c r="I231" s="7"/>
      <c r="J231" s="7"/>
      <c r="K231" s="7"/>
      <c r="L231" s="7"/>
      <c r="M231" s="7"/>
      <c r="N231" s="17"/>
    </row>
    <row r="232" ht="17.25" customHeight="1" spans="1:14">
      <c r="A232" s="9"/>
      <c r="B232" s="9" t="s">
        <v>310</v>
      </c>
      <c r="C232" s="9"/>
      <c r="D232" s="10" t="s">
        <v>120</v>
      </c>
      <c r="E232" s="14">
        <v>1</v>
      </c>
      <c r="F232" s="9">
        <f>SUMPRODUCT(F212:F231*E212:E231)</f>
        <v>0.38902075</v>
      </c>
      <c r="G232" s="10" t="s">
        <v>121</v>
      </c>
      <c r="H232" s="10" t="s">
        <v>121</v>
      </c>
      <c r="I232" s="10" t="s">
        <v>121</v>
      </c>
      <c r="J232" s="9">
        <f>SUMPRODUCT(J212:J231*E212:E231)</f>
        <v>68.968</v>
      </c>
      <c r="K232" s="9">
        <f>SUMPRODUCT(K212:K231*E212:E231)</f>
        <v>16.668</v>
      </c>
      <c r="L232" s="9"/>
      <c r="M232" s="9"/>
      <c r="N232" s="18"/>
    </row>
    <row r="233" ht="17.25" customHeight="1" spans="1:14">
      <c r="A233" s="9"/>
      <c r="B233" s="9" t="s">
        <v>122</v>
      </c>
      <c r="C233" s="9" t="s">
        <v>310</v>
      </c>
      <c r="D233" s="10" t="s">
        <v>17</v>
      </c>
      <c r="E233" s="14">
        <v>1</v>
      </c>
      <c r="F233" s="9">
        <f>E233*SUMPRODUCT(F212:F231*E212:E231)</f>
        <v>0.38902075</v>
      </c>
      <c r="G233" s="10">
        <v>0</v>
      </c>
      <c r="H233" s="10">
        <v>0</v>
      </c>
      <c r="I233" s="10">
        <v>0</v>
      </c>
      <c r="J233" s="9">
        <f>E233*SUMPRODUCT(J212:J231*E212:E231)</f>
        <v>68.968</v>
      </c>
      <c r="K233" s="9">
        <f>E233*SUMPRODUCT(K212:K231*E212:E231)</f>
        <v>16.668</v>
      </c>
      <c r="L233" s="9"/>
      <c r="M233" s="9"/>
      <c r="N233" s="18"/>
    </row>
    <row r="234" ht="17.25" customHeight="1" spans="1:14">
      <c r="A234" s="9"/>
      <c r="B234" s="9" t="s">
        <v>123</v>
      </c>
      <c r="C234" s="9" t="s">
        <v>308</v>
      </c>
      <c r="D234" s="9"/>
      <c r="E234" s="14"/>
      <c r="F234" s="9"/>
      <c r="G234" s="9">
        <f>G233</f>
        <v>0</v>
      </c>
      <c r="H234" s="9">
        <f>H233</f>
        <v>0</v>
      </c>
      <c r="I234" s="9">
        <f>I233</f>
        <v>0</v>
      </c>
      <c r="J234" s="9">
        <f>J233</f>
        <v>68.968</v>
      </c>
      <c r="K234" s="9">
        <f>K233</f>
        <v>16.668</v>
      </c>
      <c r="L234" s="9"/>
      <c r="M234" s="9"/>
      <c r="N234" s="19"/>
    </row>
    <row r="235" ht="23" customHeight="1" spans="1:14">
      <c r="A235" s="6" t="s">
        <v>377</v>
      </c>
      <c r="B235" s="6" t="s">
        <v>378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16"/>
    </row>
    <row r="236" ht="17.25" customHeight="1" spans="1:14">
      <c r="A236" s="7" t="s">
        <v>379</v>
      </c>
      <c r="B236" s="8" t="s">
        <v>380</v>
      </c>
      <c r="C236" s="8"/>
      <c r="D236" s="7"/>
      <c r="E236" s="12"/>
      <c r="F236" s="7"/>
      <c r="G236" s="7"/>
      <c r="J236" s="7"/>
      <c r="K236" s="7"/>
      <c r="L236" s="7"/>
      <c r="M236" s="7"/>
      <c r="N236" s="17"/>
    </row>
    <row r="237" ht="17.25" customHeight="1" spans="1:14">
      <c r="A237" s="7"/>
      <c r="B237" s="7" t="s">
        <v>381</v>
      </c>
      <c r="C237" s="7" t="s">
        <v>382</v>
      </c>
      <c r="D237" s="7" t="s">
        <v>383</v>
      </c>
      <c r="E237" s="12">
        <v>3</v>
      </c>
      <c r="F237" s="13">
        <v>0.478952</v>
      </c>
      <c r="G237" s="7"/>
      <c r="H237" s="7"/>
      <c r="I237" s="7"/>
      <c r="J237" s="20"/>
      <c r="K237" s="20"/>
      <c r="L237" s="7" t="s">
        <v>11</v>
      </c>
      <c r="M237" s="7" t="s">
        <v>11</v>
      </c>
      <c r="N237" s="17" t="s">
        <v>174</v>
      </c>
    </row>
    <row r="238" ht="17.25" customHeight="1" spans="1:14">
      <c r="A238" s="7"/>
      <c r="B238" s="7" t="s">
        <v>384</v>
      </c>
      <c r="C238" s="7" t="s">
        <v>385</v>
      </c>
      <c r="D238" s="7" t="s">
        <v>386</v>
      </c>
      <c r="E238" s="12">
        <v>6</v>
      </c>
      <c r="F238" s="13"/>
      <c r="G238" s="7"/>
      <c r="H238" s="7"/>
      <c r="I238" s="7"/>
      <c r="J238" s="20"/>
      <c r="K238" s="20"/>
      <c r="L238" s="7" t="s">
        <v>40</v>
      </c>
      <c r="M238" s="7" t="s">
        <v>40</v>
      </c>
      <c r="N238" s="17" t="s">
        <v>387</v>
      </c>
    </row>
    <row r="239" ht="17.25" customHeight="1" spans="1:14">
      <c r="A239" s="7"/>
      <c r="B239" s="7" t="s">
        <v>388</v>
      </c>
      <c r="C239" s="7" t="s">
        <v>389</v>
      </c>
      <c r="D239" s="7" t="s">
        <v>390</v>
      </c>
      <c r="E239" s="12">
        <v>36</v>
      </c>
      <c r="F239" s="13"/>
      <c r="G239" s="7"/>
      <c r="H239" s="7"/>
      <c r="I239" s="7"/>
      <c r="J239" s="20"/>
      <c r="K239" s="20"/>
      <c r="L239" s="7" t="s">
        <v>40</v>
      </c>
      <c r="M239" s="7" t="s">
        <v>40</v>
      </c>
      <c r="N239" s="17" t="s">
        <v>45</v>
      </c>
    </row>
    <row r="240" ht="17.25" customHeight="1" spans="1:14">
      <c r="A240" s="7"/>
      <c r="B240" s="7" t="s">
        <v>391</v>
      </c>
      <c r="C240" s="7" t="s">
        <v>392</v>
      </c>
      <c r="D240" s="7" t="s">
        <v>393</v>
      </c>
      <c r="E240" s="12">
        <v>3</v>
      </c>
      <c r="F240" s="13"/>
      <c r="G240" s="7"/>
      <c r="H240" s="7"/>
      <c r="I240" s="7"/>
      <c r="J240" s="7">
        <v>0.49</v>
      </c>
      <c r="K240" s="7">
        <v>0.49</v>
      </c>
      <c r="L240" s="7" t="s">
        <v>11</v>
      </c>
      <c r="M240" s="7" t="s">
        <v>11</v>
      </c>
      <c r="N240" s="17" t="s">
        <v>394</v>
      </c>
    </row>
    <row r="241" ht="17.25" customHeight="1" spans="1:14">
      <c r="A241" s="7"/>
      <c r="B241" s="7" t="s">
        <v>395</v>
      </c>
      <c r="C241" s="7" t="s">
        <v>396</v>
      </c>
      <c r="D241" s="7" t="s">
        <v>397</v>
      </c>
      <c r="E241" s="12">
        <v>3</v>
      </c>
      <c r="F241" s="13"/>
      <c r="G241" s="7"/>
      <c r="H241" s="7"/>
      <c r="I241" s="7"/>
      <c r="J241" s="7">
        <v>0.39</v>
      </c>
      <c r="K241" s="7">
        <v>0.39</v>
      </c>
      <c r="L241" s="7" t="s">
        <v>11</v>
      </c>
      <c r="M241" s="7" t="s">
        <v>11</v>
      </c>
      <c r="N241" s="17" t="s">
        <v>68</v>
      </c>
    </row>
    <row r="242" ht="17.25" customHeight="1" spans="1:14">
      <c r="A242" s="7"/>
      <c r="B242" s="7" t="s">
        <v>398</v>
      </c>
      <c r="C242" s="7" t="s">
        <v>399</v>
      </c>
      <c r="D242" s="7" t="s">
        <v>400</v>
      </c>
      <c r="E242" s="12">
        <v>3</v>
      </c>
      <c r="F242" s="13"/>
      <c r="G242" s="7"/>
      <c r="H242" s="7"/>
      <c r="I242" s="7"/>
      <c r="J242" s="7">
        <v>0.498</v>
      </c>
      <c r="K242" s="7">
        <v>0.498</v>
      </c>
      <c r="L242" s="7" t="s">
        <v>11</v>
      </c>
      <c r="M242" s="7" t="s">
        <v>11</v>
      </c>
      <c r="N242" s="17" t="s">
        <v>401</v>
      </c>
    </row>
    <row r="243" ht="17.25" customHeight="1" spans="1:14">
      <c r="A243" s="7"/>
      <c r="B243" s="7" t="s">
        <v>402</v>
      </c>
      <c r="C243" s="7" t="s">
        <v>403</v>
      </c>
      <c r="D243" s="7" t="s">
        <v>404</v>
      </c>
      <c r="E243" s="12">
        <v>108</v>
      </c>
      <c r="F243" s="13"/>
      <c r="G243" s="7"/>
      <c r="H243" s="7"/>
      <c r="I243" s="7"/>
      <c r="J243" s="7">
        <v>0.75</v>
      </c>
      <c r="K243" s="7">
        <v>0.75</v>
      </c>
      <c r="L243" s="7" t="s">
        <v>11</v>
      </c>
      <c r="M243" s="7" t="s">
        <v>11</v>
      </c>
      <c r="N243" s="17" t="s">
        <v>138</v>
      </c>
    </row>
    <row r="244" ht="17.25" customHeight="1" spans="1:14">
      <c r="A244" s="7"/>
      <c r="B244" s="7" t="s">
        <v>405</v>
      </c>
      <c r="C244" s="7" t="s">
        <v>406</v>
      </c>
      <c r="D244" s="7" t="s">
        <v>407</v>
      </c>
      <c r="E244" s="12">
        <v>6</v>
      </c>
      <c r="F244" s="13"/>
      <c r="G244" s="7"/>
      <c r="H244" s="7"/>
      <c r="I244" s="7"/>
      <c r="J244" s="7">
        <v>0.2</v>
      </c>
      <c r="K244" s="7">
        <v>0.2</v>
      </c>
      <c r="L244" s="7" t="s">
        <v>11</v>
      </c>
      <c r="M244" s="7" t="s">
        <v>40</v>
      </c>
      <c r="N244" s="17" t="s">
        <v>273</v>
      </c>
    </row>
    <row r="245" ht="17.25" customHeight="1" spans="1:14">
      <c r="A245" s="7"/>
      <c r="B245" s="7" t="s">
        <v>408</v>
      </c>
      <c r="C245" s="7" t="s">
        <v>409</v>
      </c>
      <c r="D245" s="7" t="s">
        <v>410</v>
      </c>
      <c r="E245" s="12">
        <v>12</v>
      </c>
      <c r="F245" s="13"/>
      <c r="G245" s="7"/>
      <c r="H245" s="7"/>
      <c r="I245" s="7"/>
      <c r="J245" s="7">
        <v>0.15</v>
      </c>
      <c r="K245" s="7">
        <v>0.15</v>
      </c>
      <c r="L245" s="7" t="s">
        <v>11</v>
      </c>
      <c r="M245" s="7" t="s">
        <v>40</v>
      </c>
      <c r="N245" s="17" t="s">
        <v>273</v>
      </c>
    </row>
    <row r="246" ht="17.25" customHeight="1" spans="1:14">
      <c r="A246" s="7"/>
      <c r="B246" s="7" t="s">
        <v>411</v>
      </c>
      <c r="C246" s="7" t="s">
        <v>412</v>
      </c>
      <c r="D246" s="7" t="s">
        <v>413</v>
      </c>
      <c r="E246" s="12">
        <v>3</v>
      </c>
      <c r="F246" s="13"/>
      <c r="G246" s="7"/>
      <c r="H246" s="7"/>
      <c r="I246" s="7"/>
      <c r="J246" s="7">
        <v>0.55</v>
      </c>
      <c r="K246" s="7">
        <v>0.55</v>
      </c>
      <c r="L246" s="7" t="s">
        <v>11</v>
      </c>
      <c r="M246" s="7" t="s">
        <v>11</v>
      </c>
      <c r="N246" s="17" t="s">
        <v>52</v>
      </c>
    </row>
    <row r="247" ht="17.25" customHeight="1" spans="1:14">
      <c r="A247" s="7"/>
      <c r="B247" s="7" t="s">
        <v>414</v>
      </c>
      <c r="C247" s="7" t="s">
        <v>415</v>
      </c>
      <c r="D247" s="7" t="s">
        <v>416</v>
      </c>
      <c r="E247" s="12">
        <v>3</v>
      </c>
      <c r="F247" s="13"/>
      <c r="G247" s="7"/>
      <c r="H247" s="7"/>
      <c r="I247" s="7"/>
      <c r="J247" s="7">
        <v>0.55</v>
      </c>
      <c r="K247" s="7">
        <v>0.55</v>
      </c>
      <c r="L247" s="7" t="s">
        <v>11</v>
      </c>
      <c r="M247" s="7" t="s">
        <v>11</v>
      </c>
      <c r="N247" s="17" t="s">
        <v>387</v>
      </c>
    </row>
    <row r="248" ht="17.25" customHeight="1" spans="1:14">
      <c r="A248" s="7"/>
      <c r="B248" s="7" t="s">
        <v>417</v>
      </c>
      <c r="C248" s="7" t="s">
        <v>418</v>
      </c>
      <c r="D248" s="7" t="s">
        <v>419</v>
      </c>
      <c r="E248" s="12">
        <v>3</v>
      </c>
      <c r="F248" s="13"/>
      <c r="G248" s="7"/>
      <c r="H248" s="7"/>
      <c r="I248" s="7"/>
      <c r="J248" s="7">
        <v>0.15</v>
      </c>
      <c r="K248" s="7">
        <v>0.15</v>
      </c>
      <c r="L248" s="7" t="s">
        <v>11</v>
      </c>
      <c r="M248" s="7" t="s">
        <v>11</v>
      </c>
      <c r="N248" s="17" t="s">
        <v>146</v>
      </c>
    </row>
    <row r="249" ht="17.25" customHeight="1" spans="1:14">
      <c r="A249" s="7"/>
      <c r="B249" s="7" t="s">
        <v>420</v>
      </c>
      <c r="C249" s="7" t="s">
        <v>421</v>
      </c>
      <c r="D249" s="7" t="s">
        <v>422</v>
      </c>
      <c r="E249" s="12">
        <v>3</v>
      </c>
      <c r="F249" s="13"/>
      <c r="G249" s="7"/>
      <c r="H249" s="7"/>
      <c r="I249" s="7"/>
      <c r="J249" s="7">
        <v>0.06</v>
      </c>
      <c r="K249" s="7">
        <v>0.06</v>
      </c>
      <c r="L249" s="7" t="s">
        <v>11</v>
      </c>
      <c r="M249" s="7" t="s">
        <v>11</v>
      </c>
      <c r="N249" s="17" t="s">
        <v>68</v>
      </c>
    </row>
    <row r="250" ht="17.25" customHeight="1" spans="1:14">
      <c r="A250" s="7"/>
      <c r="B250" s="7" t="s">
        <v>423</v>
      </c>
      <c r="C250" s="7" t="s">
        <v>424</v>
      </c>
      <c r="D250" s="7" t="s">
        <v>425</v>
      </c>
      <c r="E250" s="12">
        <v>3</v>
      </c>
      <c r="F250" s="13"/>
      <c r="G250" s="7"/>
      <c r="H250" s="7"/>
      <c r="I250" s="7"/>
      <c r="J250" s="7">
        <v>0.099</v>
      </c>
      <c r="K250" s="7">
        <v>0.099</v>
      </c>
      <c r="L250" s="7" t="s">
        <v>11</v>
      </c>
      <c r="M250" s="7" t="s">
        <v>11</v>
      </c>
      <c r="N250" s="17" t="s">
        <v>11</v>
      </c>
    </row>
    <row r="251" ht="17.25" customHeight="1" spans="1:14">
      <c r="A251" s="7"/>
      <c r="B251" s="7" t="s">
        <v>62</v>
      </c>
      <c r="C251" s="7" t="s">
        <v>63</v>
      </c>
      <c r="D251" s="7" t="s">
        <v>64</v>
      </c>
      <c r="E251" s="12">
        <v>6</v>
      </c>
      <c r="F251" s="13"/>
      <c r="G251" s="7"/>
      <c r="H251" s="7"/>
      <c r="I251" s="7"/>
      <c r="J251" s="7">
        <v>0.11</v>
      </c>
      <c r="K251" s="7">
        <v>0.11</v>
      </c>
      <c r="L251" s="7" t="s">
        <v>11</v>
      </c>
      <c r="M251" s="7" t="s">
        <v>11</v>
      </c>
      <c r="N251" s="17" t="s">
        <v>11</v>
      </c>
    </row>
    <row r="252" ht="17.25" customHeight="1" spans="1:14">
      <c r="A252" s="7"/>
      <c r="B252" s="7" t="s">
        <v>338</v>
      </c>
      <c r="C252" s="7" t="s">
        <v>339</v>
      </c>
      <c r="D252" s="7" t="s">
        <v>340</v>
      </c>
      <c r="E252" s="12">
        <v>3</v>
      </c>
      <c r="F252" s="13"/>
      <c r="G252" s="7"/>
      <c r="H252" s="7"/>
      <c r="I252" s="7"/>
      <c r="J252" s="7">
        <v>0.101</v>
      </c>
      <c r="K252" s="7">
        <v>0.101</v>
      </c>
      <c r="L252" s="7" t="s">
        <v>11</v>
      </c>
      <c r="M252" s="7" t="s">
        <v>11</v>
      </c>
      <c r="N252" s="17" t="s">
        <v>146</v>
      </c>
    </row>
    <row r="253" ht="17.25" customHeight="1" spans="1:14">
      <c r="A253" s="7"/>
      <c r="B253" s="7" t="s">
        <v>69</v>
      </c>
      <c r="C253" s="7" t="s">
        <v>70</v>
      </c>
      <c r="D253" s="7" t="s">
        <v>71</v>
      </c>
      <c r="E253" s="12">
        <v>18</v>
      </c>
      <c r="F253" s="13"/>
      <c r="G253" s="7"/>
      <c r="H253" s="7"/>
      <c r="I253" s="7"/>
      <c r="J253" s="7">
        <v>0.03</v>
      </c>
      <c r="K253" s="7">
        <v>0.03</v>
      </c>
      <c r="L253" s="7" t="s">
        <v>11</v>
      </c>
      <c r="M253" s="7" t="s">
        <v>11</v>
      </c>
      <c r="N253" s="17" t="s">
        <v>72</v>
      </c>
    </row>
    <row r="254" ht="17.25" customHeight="1" spans="1:14">
      <c r="A254" s="7"/>
      <c r="B254" s="7" t="s">
        <v>426</v>
      </c>
      <c r="C254" s="7" t="s">
        <v>427</v>
      </c>
      <c r="D254" s="7" t="s">
        <v>428</v>
      </c>
      <c r="E254" s="12">
        <v>6</v>
      </c>
      <c r="F254" s="13"/>
      <c r="G254" s="7"/>
      <c r="H254" s="7"/>
      <c r="I254" s="7"/>
      <c r="J254" s="7">
        <v>0.897</v>
      </c>
      <c r="K254" s="7">
        <v>0.897</v>
      </c>
      <c r="L254" s="7" t="s">
        <v>11</v>
      </c>
      <c r="M254" s="7" t="s">
        <v>11</v>
      </c>
      <c r="N254" s="17" t="s">
        <v>68</v>
      </c>
    </row>
    <row r="255" ht="17.25" customHeight="1" spans="1:14">
      <c r="A255" s="7"/>
      <c r="B255" s="7" t="s">
        <v>429</v>
      </c>
      <c r="C255" s="7" t="s">
        <v>430</v>
      </c>
      <c r="D255" s="7" t="s">
        <v>431</v>
      </c>
      <c r="E255" s="12">
        <v>12</v>
      </c>
      <c r="F255" s="13"/>
      <c r="G255" s="7"/>
      <c r="H255" s="7"/>
      <c r="I255" s="7"/>
      <c r="J255" s="7">
        <v>0.5</v>
      </c>
      <c r="K255" s="7">
        <v>0.5</v>
      </c>
      <c r="L255" s="7" t="s">
        <v>11</v>
      </c>
      <c r="M255" s="7" t="s">
        <v>11</v>
      </c>
      <c r="N255" s="17" t="s">
        <v>195</v>
      </c>
    </row>
    <row r="256" ht="17.25" customHeight="1" spans="1:14">
      <c r="A256" s="7"/>
      <c r="B256" s="7" t="s">
        <v>351</v>
      </c>
      <c r="C256" s="7" t="s">
        <v>352</v>
      </c>
      <c r="D256" s="7" t="s">
        <v>353</v>
      </c>
      <c r="E256" s="12">
        <v>1</v>
      </c>
      <c r="F256" s="13">
        <v>0.00033</v>
      </c>
      <c r="G256" s="7"/>
      <c r="H256" s="7"/>
      <c r="I256" s="7"/>
      <c r="J256" s="7">
        <v>0</v>
      </c>
      <c r="K256" s="7">
        <v>0</v>
      </c>
      <c r="L256" s="7" t="s">
        <v>11</v>
      </c>
      <c r="M256" s="7" t="s">
        <v>11</v>
      </c>
      <c r="N256" s="17" t="s">
        <v>354</v>
      </c>
    </row>
    <row r="257" ht="17.25" customHeight="1" spans="1:14">
      <c r="A257" s="7"/>
      <c r="B257" s="7" t="s">
        <v>355</v>
      </c>
      <c r="C257" s="7" t="s">
        <v>356</v>
      </c>
      <c r="D257" s="7" t="s">
        <v>357</v>
      </c>
      <c r="E257" s="12">
        <v>1</v>
      </c>
      <c r="F257" s="13">
        <v>0.00033</v>
      </c>
      <c r="G257" s="7"/>
      <c r="H257" s="7"/>
      <c r="I257" s="7"/>
      <c r="J257" s="7">
        <v>0</v>
      </c>
      <c r="K257" s="7">
        <v>0</v>
      </c>
      <c r="L257" s="7" t="s">
        <v>11</v>
      </c>
      <c r="M257" s="7" t="s">
        <v>11</v>
      </c>
      <c r="N257" s="17" t="s">
        <v>354</v>
      </c>
    </row>
    <row r="258" ht="17.25" customHeight="1" spans="1:14">
      <c r="A258" s="7"/>
      <c r="B258" s="7" t="s">
        <v>432</v>
      </c>
      <c r="C258" s="7" t="s">
        <v>433</v>
      </c>
      <c r="D258" s="7" t="s">
        <v>434</v>
      </c>
      <c r="E258" s="12">
        <v>3</v>
      </c>
      <c r="F258" s="13"/>
      <c r="G258" s="7"/>
      <c r="H258" s="7"/>
      <c r="I258" s="7"/>
      <c r="J258" s="7">
        <v>0.69</v>
      </c>
      <c r="K258" s="7">
        <v>0.69</v>
      </c>
      <c r="L258" s="7" t="s">
        <v>11</v>
      </c>
      <c r="M258" s="7" t="s">
        <v>11</v>
      </c>
      <c r="N258" s="17" t="s">
        <v>199</v>
      </c>
    </row>
    <row r="259" ht="17.25" customHeight="1" spans="1:14">
      <c r="A259" s="7"/>
      <c r="B259" s="7" t="s">
        <v>435</v>
      </c>
      <c r="C259" s="7" t="s">
        <v>436</v>
      </c>
      <c r="D259" s="7" t="s">
        <v>437</v>
      </c>
      <c r="E259" s="12">
        <v>3</v>
      </c>
      <c r="F259" s="13"/>
      <c r="G259" s="7"/>
      <c r="H259" s="7"/>
      <c r="I259" s="7"/>
      <c r="J259" s="7">
        <v>0.8</v>
      </c>
      <c r="K259" s="7">
        <v>0.8</v>
      </c>
      <c r="L259" s="7" t="s">
        <v>11</v>
      </c>
      <c r="M259" s="7" t="s">
        <v>11</v>
      </c>
      <c r="N259" s="17" t="s">
        <v>11</v>
      </c>
    </row>
    <row r="260" ht="17.25" customHeight="1" spans="1:14">
      <c r="A260" s="7"/>
      <c r="B260" s="7" t="s">
        <v>365</v>
      </c>
      <c r="C260" s="7" t="s">
        <v>366</v>
      </c>
      <c r="D260" s="7" t="s">
        <v>367</v>
      </c>
      <c r="E260" s="12">
        <v>3</v>
      </c>
      <c r="F260" s="13"/>
      <c r="G260" s="7"/>
      <c r="H260" s="7"/>
      <c r="I260" s="7"/>
      <c r="J260" s="7">
        <v>0</v>
      </c>
      <c r="K260" s="7">
        <v>0</v>
      </c>
      <c r="L260" s="7" t="s">
        <v>11</v>
      </c>
      <c r="M260" s="7" t="s">
        <v>40</v>
      </c>
      <c r="N260" s="17" t="s">
        <v>11</v>
      </c>
    </row>
    <row r="261" ht="17.25" customHeight="1" spans="1:14">
      <c r="A261" s="7"/>
      <c r="B261" s="7" t="s">
        <v>368</v>
      </c>
      <c r="C261" s="7" t="s">
        <v>369</v>
      </c>
      <c r="D261" s="7" t="s">
        <v>370</v>
      </c>
      <c r="E261" s="12">
        <v>3</v>
      </c>
      <c r="F261" s="13"/>
      <c r="G261" s="7"/>
      <c r="H261" s="7"/>
      <c r="I261" s="7"/>
      <c r="J261" s="7">
        <v>0</v>
      </c>
      <c r="K261" s="7">
        <v>0</v>
      </c>
      <c r="L261" s="7" t="s">
        <v>11</v>
      </c>
      <c r="M261" s="7" t="s">
        <v>40</v>
      </c>
      <c r="N261" s="17" t="s">
        <v>11</v>
      </c>
    </row>
    <row r="262" ht="17.25" customHeight="1" spans="1:14">
      <c r="A262" s="7"/>
      <c r="B262" s="7" t="s">
        <v>362</v>
      </c>
      <c r="C262" s="7" t="s">
        <v>363</v>
      </c>
      <c r="D262" s="7" t="s">
        <v>364</v>
      </c>
      <c r="E262" s="12">
        <v>3</v>
      </c>
      <c r="F262" s="13"/>
      <c r="G262" s="7"/>
      <c r="H262" s="7"/>
      <c r="I262" s="7"/>
      <c r="J262" s="7">
        <v>0</v>
      </c>
      <c r="K262" s="7">
        <v>0</v>
      </c>
      <c r="L262" s="7" t="s">
        <v>11</v>
      </c>
      <c r="M262" s="7" t="s">
        <v>40</v>
      </c>
      <c r="N262" s="17" t="s">
        <v>11</v>
      </c>
    </row>
    <row r="263" ht="17.25" customHeight="1" spans="1:14">
      <c r="A263" s="7"/>
      <c r="B263" s="7" t="s">
        <v>438</v>
      </c>
      <c r="C263" s="7" t="s">
        <v>439</v>
      </c>
      <c r="D263" s="7" t="s">
        <v>440</v>
      </c>
      <c r="E263" s="12">
        <v>3</v>
      </c>
      <c r="F263" s="13"/>
      <c r="G263" s="7"/>
      <c r="H263" s="7"/>
      <c r="I263" s="7"/>
      <c r="J263" s="7">
        <v>0.01</v>
      </c>
      <c r="K263" s="7">
        <v>0.01</v>
      </c>
      <c r="L263" s="7" t="s">
        <v>11</v>
      </c>
      <c r="M263" s="7" t="s">
        <v>11</v>
      </c>
      <c r="N263" s="17" t="s">
        <v>11</v>
      </c>
    </row>
    <row r="264" ht="17.25" customHeight="1" spans="1:14">
      <c r="A264" s="7"/>
      <c r="B264" s="7" t="s">
        <v>441</v>
      </c>
      <c r="C264" s="7" t="s">
        <v>442</v>
      </c>
      <c r="D264" s="7" t="s">
        <v>443</v>
      </c>
      <c r="E264" s="12">
        <v>3</v>
      </c>
      <c r="F264" s="13"/>
      <c r="G264" s="7"/>
      <c r="H264" s="7"/>
      <c r="I264" s="7"/>
      <c r="J264" s="7">
        <v>0.02</v>
      </c>
      <c r="K264" s="7">
        <v>0.02</v>
      </c>
      <c r="L264" s="7" t="s">
        <v>11</v>
      </c>
      <c r="M264" s="7" t="s">
        <v>11</v>
      </c>
      <c r="N264" s="17" t="s">
        <v>11</v>
      </c>
    </row>
    <row r="265" ht="17.25" customHeight="1" spans="1:14">
      <c r="A265" s="7"/>
      <c r="B265" s="7" t="s">
        <v>444</v>
      </c>
      <c r="C265" s="7" t="s">
        <v>445</v>
      </c>
      <c r="D265" s="7" t="s">
        <v>446</v>
      </c>
      <c r="E265" s="12">
        <v>3</v>
      </c>
      <c r="F265" s="13"/>
      <c r="G265" s="7"/>
      <c r="H265" s="7"/>
      <c r="I265" s="7"/>
      <c r="J265" s="7">
        <v>0.01</v>
      </c>
      <c r="K265" s="7">
        <v>0.01</v>
      </c>
      <c r="L265" s="7" t="s">
        <v>11</v>
      </c>
      <c r="M265" s="7" t="s">
        <v>11</v>
      </c>
      <c r="N265" s="17" t="s">
        <v>11</v>
      </c>
    </row>
    <row r="266" ht="17.25" customHeight="1" spans="1:14">
      <c r="A266" s="7"/>
      <c r="B266" s="7" t="s">
        <v>447</v>
      </c>
      <c r="C266" s="7" t="s">
        <v>448</v>
      </c>
      <c r="D266" s="7" t="s">
        <v>449</v>
      </c>
      <c r="E266" s="12">
        <v>3</v>
      </c>
      <c r="F266" s="13"/>
      <c r="G266" s="7"/>
      <c r="H266" s="7"/>
      <c r="I266" s="7"/>
      <c r="J266" s="7">
        <v>0.01</v>
      </c>
      <c r="K266" s="7">
        <v>0.01</v>
      </c>
      <c r="L266" s="7" t="s">
        <v>11</v>
      </c>
      <c r="M266" s="7" t="s">
        <v>11</v>
      </c>
      <c r="N266" s="17" t="s">
        <v>11</v>
      </c>
    </row>
    <row r="267" ht="17.25" customHeight="1" spans="1:14">
      <c r="A267" s="7"/>
      <c r="B267" s="7" t="s">
        <v>450</v>
      </c>
      <c r="C267" s="7" t="s">
        <v>451</v>
      </c>
      <c r="D267" s="7" t="s">
        <v>452</v>
      </c>
      <c r="E267" s="12">
        <v>3</v>
      </c>
      <c r="F267" s="13"/>
      <c r="G267" s="7"/>
      <c r="H267" s="7"/>
      <c r="I267" s="7"/>
      <c r="J267" s="7">
        <v>0.07</v>
      </c>
      <c r="K267" s="7">
        <v>0.07</v>
      </c>
      <c r="L267" s="7" t="s">
        <v>11</v>
      </c>
      <c r="M267" s="7" t="s">
        <v>11</v>
      </c>
      <c r="N267" s="17" t="s">
        <v>11</v>
      </c>
    </row>
    <row r="268" ht="17.25" customHeight="1" spans="1:14">
      <c r="A268" s="7"/>
      <c r="B268" s="7" t="s">
        <v>453</v>
      </c>
      <c r="C268" s="7" t="s">
        <v>454</v>
      </c>
      <c r="D268" s="7" t="s">
        <v>455</v>
      </c>
      <c r="E268" s="12">
        <v>3</v>
      </c>
      <c r="F268" s="13"/>
      <c r="G268" s="7"/>
      <c r="H268" s="7"/>
      <c r="I268" s="7"/>
      <c r="J268" s="7">
        <v>0.06</v>
      </c>
      <c r="K268" s="7">
        <v>0.06</v>
      </c>
      <c r="L268" s="7" t="s">
        <v>11</v>
      </c>
      <c r="M268" s="7" t="s">
        <v>11</v>
      </c>
      <c r="N268" s="17" t="s">
        <v>11</v>
      </c>
    </row>
    <row r="269" ht="17.25" customHeight="1" spans="1:14">
      <c r="A269" s="7"/>
      <c r="B269" s="7" t="s">
        <v>456</v>
      </c>
      <c r="C269" s="7" t="s">
        <v>457</v>
      </c>
      <c r="D269" s="7" t="s">
        <v>458</v>
      </c>
      <c r="E269" s="12">
        <v>3</v>
      </c>
      <c r="F269" s="13"/>
      <c r="G269" s="7"/>
      <c r="H269" s="7"/>
      <c r="I269" s="7"/>
      <c r="J269" s="7">
        <v>0.07</v>
      </c>
      <c r="K269" s="7">
        <v>0.07</v>
      </c>
      <c r="L269" s="7" t="s">
        <v>11</v>
      </c>
      <c r="M269" s="7" t="s">
        <v>11</v>
      </c>
      <c r="N269" s="17" t="s">
        <v>11</v>
      </c>
    </row>
    <row r="270" ht="17.25" customHeight="1" spans="1:14">
      <c r="A270" s="7"/>
      <c r="B270" s="7" t="s">
        <v>371</v>
      </c>
      <c r="C270" s="7" t="s">
        <v>372</v>
      </c>
      <c r="D270" s="7" t="s">
        <v>373</v>
      </c>
      <c r="E270" s="12">
        <v>3</v>
      </c>
      <c r="F270" s="7"/>
      <c r="G270" s="7"/>
      <c r="H270" s="7"/>
      <c r="I270" s="7"/>
      <c r="J270" s="7"/>
      <c r="K270" s="7"/>
      <c r="L270" s="7"/>
      <c r="M270" s="7"/>
      <c r="N270" s="17"/>
    </row>
    <row r="271" ht="17.25" customHeight="1" spans="1:14">
      <c r="A271" s="7"/>
      <c r="B271" s="7" t="s">
        <v>374</v>
      </c>
      <c r="C271" s="7" t="s">
        <v>375</v>
      </c>
      <c r="D271" s="7" t="s">
        <v>376</v>
      </c>
      <c r="E271" s="12">
        <v>1</v>
      </c>
      <c r="F271" s="7"/>
      <c r="G271" s="7"/>
      <c r="H271" s="7"/>
      <c r="I271" s="7"/>
      <c r="J271" s="7"/>
      <c r="K271" s="7"/>
      <c r="L271" s="7"/>
      <c r="M271" s="7"/>
      <c r="N271" s="17"/>
    </row>
    <row r="272" ht="17.25" customHeight="1" spans="1:14">
      <c r="A272" s="9"/>
      <c r="B272" s="9" t="s">
        <v>380</v>
      </c>
      <c r="C272" s="9"/>
      <c r="D272" s="10" t="s">
        <v>120</v>
      </c>
      <c r="E272" s="14">
        <v>1</v>
      </c>
      <c r="F272" s="9">
        <f>SUMPRODUCT(F237:F271*E237:E271)</f>
        <v>1.437516</v>
      </c>
      <c r="G272" s="10" t="s">
        <v>121</v>
      </c>
      <c r="H272" s="10" t="s">
        <v>121</v>
      </c>
      <c r="I272" s="10" t="s">
        <v>121</v>
      </c>
      <c r="J272" s="9">
        <f>SUMPRODUCT(J237:J271*E237:E271)</f>
        <v>110.466</v>
      </c>
      <c r="K272" s="9">
        <f>SUMPRODUCT(K237:K271*E237:E271)</f>
        <v>110.466</v>
      </c>
      <c r="L272" s="9"/>
      <c r="M272" s="9"/>
      <c r="N272" s="18"/>
    </row>
    <row r="273" ht="17.25" customHeight="1" spans="1:14">
      <c r="A273" s="9"/>
      <c r="B273" s="9" t="s">
        <v>122</v>
      </c>
      <c r="C273" s="9" t="s">
        <v>380</v>
      </c>
      <c r="D273" s="10" t="s">
        <v>17</v>
      </c>
      <c r="E273" s="14">
        <v>1</v>
      </c>
      <c r="F273" s="9">
        <f>E273*SUMPRODUCT(F237:F271*E237:E271)</f>
        <v>1.437516</v>
      </c>
      <c r="G273" s="10">
        <v>0</v>
      </c>
      <c r="H273" s="10">
        <v>0</v>
      </c>
      <c r="I273" s="10">
        <v>0</v>
      </c>
      <c r="J273" s="9">
        <f>E273*SUMPRODUCT(J237:J271*E237:E271)</f>
        <v>110.466</v>
      </c>
      <c r="K273" s="9">
        <f>E273*SUMPRODUCT(K237:K271*E237:E271)</f>
        <v>110.466</v>
      </c>
      <c r="L273" s="9"/>
      <c r="M273" s="9"/>
      <c r="N273" s="18"/>
    </row>
    <row r="274" ht="17.25" customHeight="1" spans="1:14">
      <c r="A274" s="9"/>
      <c r="B274" s="9" t="s">
        <v>123</v>
      </c>
      <c r="C274" s="9" t="s">
        <v>378</v>
      </c>
      <c r="D274" s="9"/>
      <c r="E274" s="14"/>
      <c r="F274" s="9"/>
      <c r="G274" s="9">
        <f>G273</f>
        <v>0</v>
      </c>
      <c r="H274" s="9">
        <f>H273</f>
        <v>0</v>
      </c>
      <c r="I274" s="9">
        <f>I273</f>
        <v>0</v>
      </c>
      <c r="J274" s="9">
        <f>J273</f>
        <v>110.466</v>
      </c>
      <c r="K274" s="9">
        <f>K273</f>
        <v>110.466</v>
      </c>
      <c r="L274" s="9"/>
      <c r="M274" s="9"/>
      <c r="N274" s="19"/>
    </row>
    <row r="275" ht="23" customHeight="1" spans="1:14">
      <c r="A275" s="6" t="s">
        <v>459</v>
      </c>
      <c r="B275" s="6" t="s">
        <v>460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16"/>
    </row>
    <row r="276" ht="17.25" customHeight="1" spans="1:14">
      <c r="A276" s="7" t="s">
        <v>461</v>
      </c>
      <c r="B276" s="8" t="s">
        <v>462</v>
      </c>
      <c r="C276" s="8"/>
      <c r="D276" s="7"/>
      <c r="E276" s="12"/>
      <c r="F276" s="7"/>
      <c r="G276" s="7"/>
      <c r="J276" s="7"/>
      <c r="K276" s="7"/>
      <c r="L276" s="7"/>
      <c r="M276" s="7"/>
      <c r="N276" s="17"/>
    </row>
    <row r="277" ht="17.25" customHeight="1" spans="1:14">
      <c r="A277" s="7"/>
      <c r="B277" s="7" t="s">
        <v>463</v>
      </c>
      <c r="C277" s="7" t="s">
        <v>464</v>
      </c>
      <c r="D277" s="7" t="s">
        <v>465</v>
      </c>
      <c r="E277" s="12">
        <v>1</v>
      </c>
      <c r="F277" s="13">
        <v>0.164112</v>
      </c>
      <c r="G277" s="7"/>
      <c r="H277" s="7"/>
      <c r="I277" s="7"/>
      <c r="J277" s="7">
        <v>13.03</v>
      </c>
      <c r="K277" s="7">
        <v>13.03</v>
      </c>
      <c r="L277" s="7" t="s">
        <v>466</v>
      </c>
      <c r="M277" s="7" t="s">
        <v>467</v>
      </c>
      <c r="N277" s="17" t="s">
        <v>468</v>
      </c>
    </row>
    <row r="278" ht="17.25" customHeight="1" spans="1:14">
      <c r="A278" s="7"/>
      <c r="B278" s="7" t="s">
        <v>469</v>
      </c>
      <c r="C278" s="7" t="s">
        <v>470</v>
      </c>
      <c r="D278" s="7" t="s">
        <v>471</v>
      </c>
      <c r="E278" s="12">
        <v>2</v>
      </c>
      <c r="F278" s="13"/>
      <c r="G278" s="7"/>
      <c r="H278" s="7"/>
      <c r="I278" s="7"/>
      <c r="J278" s="7">
        <v>0.15</v>
      </c>
      <c r="K278" s="7">
        <v>0.15</v>
      </c>
      <c r="L278" s="7" t="s">
        <v>11</v>
      </c>
      <c r="M278" s="7" t="s">
        <v>40</v>
      </c>
      <c r="N278" s="17" t="s">
        <v>472</v>
      </c>
    </row>
    <row r="279" ht="17.25" customHeight="1" spans="1:14">
      <c r="A279" s="7"/>
      <c r="B279" s="7" t="s">
        <v>473</v>
      </c>
      <c r="C279" s="7" t="s">
        <v>474</v>
      </c>
      <c r="D279" s="7" t="s">
        <v>475</v>
      </c>
      <c r="E279" s="12">
        <v>8</v>
      </c>
      <c r="F279" s="13"/>
      <c r="G279" s="7"/>
      <c r="H279" s="7"/>
      <c r="I279" s="7"/>
      <c r="J279" s="7">
        <v>0.05</v>
      </c>
      <c r="K279" s="7">
        <v>0.05</v>
      </c>
      <c r="L279" s="7" t="s">
        <v>11</v>
      </c>
      <c r="M279" s="7" t="s">
        <v>11</v>
      </c>
      <c r="N279" s="17" t="s">
        <v>11</v>
      </c>
    </row>
    <row r="280" ht="17.25" customHeight="1" spans="1:14">
      <c r="A280" s="7"/>
      <c r="B280" s="7" t="s">
        <v>46</v>
      </c>
      <c r="C280" s="7" t="s">
        <v>47</v>
      </c>
      <c r="D280" s="7" t="s">
        <v>48</v>
      </c>
      <c r="E280" s="12">
        <v>16</v>
      </c>
      <c r="F280" s="13"/>
      <c r="G280" s="7"/>
      <c r="H280" s="7"/>
      <c r="I280" s="7"/>
      <c r="J280" s="7">
        <v>0.01</v>
      </c>
      <c r="K280" s="7">
        <v>0.01</v>
      </c>
      <c r="L280" s="7" t="s">
        <v>11</v>
      </c>
      <c r="M280" s="7" t="s">
        <v>11</v>
      </c>
      <c r="N280" s="17" t="s">
        <v>11</v>
      </c>
    </row>
    <row r="281" ht="17.25" customHeight="1" spans="1:14">
      <c r="A281" s="7"/>
      <c r="B281" s="7" t="s">
        <v>476</v>
      </c>
      <c r="C281" s="7" t="s">
        <v>477</v>
      </c>
      <c r="D281" s="7" t="s">
        <v>478</v>
      </c>
      <c r="E281" s="12">
        <v>1</v>
      </c>
      <c r="F281" s="13"/>
      <c r="G281" s="7"/>
      <c r="H281" s="7"/>
      <c r="I281" s="7"/>
      <c r="J281" s="7">
        <v>0.03</v>
      </c>
      <c r="K281" s="7">
        <v>0.03</v>
      </c>
      <c r="L281" s="7" t="s">
        <v>11</v>
      </c>
      <c r="M281" s="7" t="s">
        <v>40</v>
      </c>
      <c r="N281" s="17" t="s">
        <v>479</v>
      </c>
    </row>
    <row r="282" ht="17.25" customHeight="1" spans="1:14">
      <c r="A282" s="7"/>
      <c r="B282" s="7" t="s">
        <v>480</v>
      </c>
      <c r="C282" s="7" t="s">
        <v>481</v>
      </c>
      <c r="D282" s="7" t="s">
        <v>482</v>
      </c>
      <c r="E282" s="12">
        <v>1</v>
      </c>
      <c r="F282" s="13"/>
      <c r="G282" s="7"/>
      <c r="H282" s="7"/>
      <c r="I282" s="7"/>
      <c r="J282" s="7">
        <v>0.27</v>
      </c>
      <c r="K282" s="7">
        <v>0.27</v>
      </c>
      <c r="L282" s="7" t="s">
        <v>11</v>
      </c>
      <c r="M282" s="7" t="s">
        <v>40</v>
      </c>
      <c r="N282" s="17" t="s">
        <v>394</v>
      </c>
    </row>
    <row r="283" ht="17.25" customHeight="1" spans="1:14">
      <c r="A283" s="7"/>
      <c r="B283" s="7" t="s">
        <v>483</v>
      </c>
      <c r="C283" s="7" t="s">
        <v>484</v>
      </c>
      <c r="D283" s="7" t="s">
        <v>485</v>
      </c>
      <c r="E283" s="12">
        <v>2</v>
      </c>
      <c r="F283" s="13"/>
      <c r="G283" s="7"/>
      <c r="H283" s="7"/>
      <c r="I283" s="7"/>
      <c r="J283" s="7">
        <v>0.26</v>
      </c>
      <c r="K283" s="7">
        <v>0.26</v>
      </c>
      <c r="L283" s="7" t="s">
        <v>11</v>
      </c>
      <c r="M283" s="7" t="s">
        <v>40</v>
      </c>
      <c r="N283" s="17" t="s">
        <v>11</v>
      </c>
    </row>
    <row r="284" ht="17.25" customHeight="1" spans="1:14">
      <c r="A284" s="7"/>
      <c r="B284" s="7" t="s">
        <v>486</v>
      </c>
      <c r="C284" s="7" t="s">
        <v>487</v>
      </c>
      <c r="D284" s="7" t="s">
        <v>488</v>
      </c>
      <c r="E284" s="12">
        <v>10</v>
      </c>
      <c r="F284" s="13"/>
      <c r="G284" s="7"/>
      <c r="H284" s="7"/>
      <c r="I284" s="7"/>
      <c r="J284" s="7">
        <v>0.75</v>
      </c>
      <c r="K284" s="7">
        <v>0.75</v>
      </c>
      <c r="L284" s="7" t="s">
        <v>11</v>
      </c>
      <c r="M284" s="7" t="s">
        <v>11</v>
      </c>
      <c r="N284" s="17" t="s">
        <v>138</v>
      </c>
    </row>
    <row r="285" ht="17.25" customHeight="1" spans="1:14">
      <c r="A285" s="7"/>
      <c r="B285" s="7" t="s">
        <v>489</v>
      </c>
      <c r="C285" s="7" t="s">
        <v>490</v>
      </c>
      <c r="D285" s="7" t="s">
        <v>491</v>
      </c>
      <c r="E285" s="12">
        <v>2</v>
      </c>
      <c r="F285" s="13"/>
      <c r="G285" s="7"/>
      <c r="H285" s="7"/>
      <c r="I285" s="7"/>
      <c r="J285" s="7">
        <v>0.06</v>
      </c>
      <c r="K285" s="7">
        <v>0.06</v>
      </c>
      <c r="L285" s="7" t="s">
        <v>40</v>
      </c>
      <c r="M285" s="7" t="s">
        <v>11</v>
      </c>
      <c r="N285" s="17" t="s">
        <v>11</v>
      </c>
    </row>
    <row r="286" ht="17.25" customHeight="1" spans="1:14">
      <c r="A286" s="7"/>
      <c r="B286" s="7" t="s">
        <v>492</v>
      </c>
      <c r="C286" s="7" t="s">
        <v>493</v>
      </c>
      <c r="D286" s="7" t="s">
        <v>494</v>
      </c>
      <c r="E286" s="12">
        <v>2</v>
      </c>
      <c r="F286" s="13"/>
      <c r="G286" s="7"/>
      <c r="H286" s="7"/>
      <c r="I286" s="7"/>
      <c r="J286" s="7">
        <v>0.4</v>
      </c>
      <c r="K286" s="7">
        <v>0.4</v>
      </c>
      <c r="L286" s="7" t="s">
        <v>11</v>
      </c>
      <c r="M286" s="7" t="s">
        <v>40</v>
      </c>
      <c r="N286" s="17" t="s">
        <v>188</v>
      </c>
    </row>
    <row r="287" ht="17.25" customHeight="1" spans="1:14">
      <c r="A287" s="7"/>
      <c r="B287" s="7" t="s">
        <v>417</v>
      </c>
      <c r="C287" s="7" t="s">
        <v>418</v>
      </c>
      <c r="D287" s="7" t="s">
        <v>419</v>
      </c>
      <c r="E287" s="12">
        <v>1</v>
      </c>
      <c r="F287" s="13"/>
      <c r="G287" s="7"/>
      <c r="H287" s="7"/>
      <c r="I287" s="7"/>
      <c r="J287" s="7">
        <v>0.15</v>
      </c>
      <c r="K287" s="7">
        <v>0.15</v>
      </c>
      <c r="L287" s="7" t="s">
        <v>11</v>
      </c>
      <c r="M287" s="7" t="s">
        <v>11</v>
      </c>
      <c r="N287" s="17" t="s">
        <v>146</v>
      </c>
    </row>
    <row r="288" ht="17.25" customHeight="1" spans="1:14">
      <c r="A288" s="7"/>
      <c r="B288" s="7" t="s">
        <v>420</v>
      </c>
      <c r="C288" s="7" t="s">
        <v>421</v>
      </c>
      <c r="D288" s="7" t="s">
        <v>422</v>
      </c>
      <c r="E288" s="12">
        <v>1</v>
      </c>
      <c r="F288" s="13"/>
      <c r="G288" s="7"/>
      <c r="H288" s="7"/>
      <c r="I288" s="7"/>
      <c r="J288" s="7">
        <v>0.06</v>
      </c>
      <c r="K288" s="7">
        <v>0.06</v>
      </c>
      <c r="L288" s="7" t="s">
        <v>11</v>
      </c>
      <c r="M288" s="7" t="s">
        <v>11</v>
      </c>
      <c r="N288" s="17" t="s">
        <v>68</v>
      </c>
    </row>
    <row r="289" ht="17.25" customHeight="1" spans="1:14">
      <c r="A289" s="7"/>
      <c r="B289" s="7" t="s">
        <v>62</v>
      </c>
      <c r="C289" s="7" t="s">
        <v>63</v>
      </c>
      <c r="D289" s="7" t="s">
        <v>64</v>
      </c>
      <c r="E289" s="12">
        <v>3</v>
      </c>
      <c r="F289" s="13"/>
      <c r="G289" s="7"/>
      <c r="H289" s="7"/>
      <c r="I289" s="7"/>
      <c r="J289" s="7">
        <v>0.11</v>
      </c>
      <c r="K289" s="7">
        <v>0.11</v>
      </c>
      <c r="L289" s="7" t="s">
        <v>11</v>
      </c>
      <c r="M289" s="7" t="s">
        <v>11</v>
      </c>
      <c r="N289" s="17" t="s">
        <v>11</v>
      </c>
    </row>
    <row r="290" ht="17.25" customHeight="1" spans="1:14">
      <c r="A290" s="7"/>
      <c r="B290" s="7" t="s">
        <v>495</v>
      </c>
      <c r="C290" s="7" t="s">
        <v>496</v>
      </c>
      <c r="D290" s="7" t="s">
        <v>497</v>
      </c>
      <c r="E290" s="12">
        <v>1</v>
      </c>
      <c r="F290" s="13"/>
      <c r="G290" s="7"/>
      <c r="H290" s="7"/>
      <c r="I290" s="7"/>
      <c r="J290" s="7">
        <v>0.098</v>
      </c>
      <c r="K290" s="7">
        <v>0.098</v>
      </c>
      <c r="L290" s="7" t="s">
        <v>11</v>
      </c>
      <c r="M290" s="7" t="s">
        <v>11</v>
      </c>
      <c r="N290" s="17" t="s">
        <v>146</v>
      </c>
    </row>
    <row r="291" ht="17.25" customHeight="1" spans="1:14">
      <c r="A291" s="7"/>
      <c r="B291" s="7" t="s">
        <v>69</v>
      </c>
      <c r="C291" s="7" t="s">
        <v>70</v>
      </c>
      <c r="D291" s="7" t="s">
        <v>71</v>
      </c>
      <c r="E291" s="12">
        <v>6</v>
      </c>
      <c r="F291" s="13"/>
      <c r="G291" s="7"/>
      <c r="H291" s="7"/>
      <c r="I291" s="7"/>
      <c r="J291" s="7">
        <v>0.03</v>
      </c>
      <c r="K291" s="7">
        <v>0.03</v>
      </c>
      <c r="L291" s="7" t="s">
        <v>11</v>
      </c>
      <c r="M291" s="7" t="s">
        <v>11</v>
      </c>
      <c r="N291" s="17" t="s">
        <v>72</v>
      </c>
    </row>
    <row r="292" ht="17.25" customHeight="1" spans="1:14">
      <c r="A292" s="7"/>
      <c r="B292" s="7" t="s">
        <v>498</v>
      </c>
      <c r="C292" s="7" t="s">
        <v>499</v>
      </c>
      <c r="D292" s="7" t="s">
        <v>500</v>
      </c>
      <c r="E292" s="12">
        <v>2</v>
      </c>
      <c r="F292" s="13"/>
      <c r="G292" s="7"/>
      <c r="H292" s="7"/>
      <c r="I292" s="7"/>
      <c r="J292" s="7">
        <v>0.909</v>
      </c>
      <c r="K292" s="7">
        <v>0.909</v>
      </c>
      <c r="L292" s="7" t="s">
        <v>11</v>
      </c>
      <c r="M292" s="7" t="s">
        <v>11</v>
      </c>
      <c r="N292" s="17" t="s">
        <v>11</v>
      </c>
    </row>
    <row r="293" ht="17.25" customHeight="1" spans="1:14">
      <c r="A293" s="7"/>
      <c r="B293" s="7" t="s">
        <v>501</v>
      </c>
      <c r="C293" s="7" t="s">
        <v>502</v>
      </c>
      <c r="D293" s="7" t="s">
        <v>503</v>
      </c>
      <c r="E293" s="12">
        <v>4</v>
      </c>
      <c r="F293" s="13"/>
      <c r="G293" s="7"/>
      <c r="H293" s="7"/>
      <c r="I293" s="7"/>
      <c r="J293" s="7">
        <v>0.45</v>
      </c>
      <c r="K293" s="7">
        <v>0.45</v>
      </c>
      <c r="L293" s="7" t="s">
        <v>11</v>
      </c>
      <c r="M293" s="7" t="s">
        <v>40</v>
      </c>
      <c r="N293" s="17" t="s">
        <v>85</v>
      </c>
    </row>
    <row r="294" ht="17.25" customHeight="1" spans="1:14">
      <c r="A294" s="7"/>
      <c r="B294" s="7" t="s">
        <v>504</v>
      </c>
      <c r="C294" s="7" t="s">
        <v>505</v>
      </c>
      <c r="D294" s="7" t="s">
        <v>506</v>
      </c>
      <c r="E294" s="12">
        <v>2</v>
      </c>
      <c r="F294" s="13"/>
      <c r="G294" s="7"/>
      <c r="H294" s="7"/>
      <c r="I294" s="7"/>
      <c r="J294" s="7">
        <v>0.71</v>
      </c>
      <c r="K294" s="7">
        <v>0.71</v>
      </c>
      <c r="L294" s="7" t="s">
        <v>11</v>
      </c>
      <c r="M294" s="7" t="s">
        <v>40</v>
      </c>
      <c r="N294" s="17" t="s">
        <v>11</v>
      </c>
    </row>
    <row r="295" ht="17.25" customHeight="1" spans="1:14">
      <c r="A295" s="7"/>
      <c r="B295" s="7" t="s">
        <v>89</v>
      </c>
      <c r="C295" s="7" t="s">
        <v>90</v>
      </c>
      <c r="D295" s="7" t="s">
        <v>91</v>
      </c>
      <c r="E295" s="12">
        <v>1</v>
      </c>
      <c r="F295" s="13"/>
      <c r="G295" s="7"/>
      <c r="H295" s="7"/>
      <c r="I295" s="7"/>
      <c r="J295" s="7">
        <v>0</v>
      </c>
      <c r="K295" s="7">
        <v>0</v>
      </c>
      <c r="L295" s="7" t="s">
        <v>11</v>
      </c>
      <c r="M295" s="7" t="s">
        <v>11</v>
      </c>
      <c r="N295" s="17" t="s">
        <v>11</v>
      </c>
    </row>
    <row r="296" ht="17.25" customHeight="1" spans="1:14">
      <c r="A296" s="7"/>
      <c r="B296" s="7" t="s">
        <v>507</v>
      </c>
      <c r="C296" s="7" t="s">
        <v>508</v>
      </c>
      <c r="D296" s="7" t="s">
        <v>509</v>
      </c>
      <c r="E296" s="12">
        <v>1</v>
      </c>
      <c r="F296" s="13"/>
      <c r="G296" s="7"/>
      <c r="H296" s="7"/>
      <c r="I296" s="7"/>
      <c r="J296" s="7">
        <v>0.03</v>
      </c>
      <c r="K296" s="7">
        <v>0.03</v>
      </c>
      <c r="L296" s="7" t="s">
        <v>11</v>
      </c>
      <c r="M296" s="7" t="s">
        <v>40</v>
      </c>
      <c r="N296" s="17" t="s">
        <v>68</v>
      </c>
    </row>
    <row r="297" ht="17.25" customHeight="1" spans="1:14">
      <c r="A297" s="7"/>
      <c r="B297" s="7" t="s">
        <v>510</v>
      </c>
      <c r="C297" s="7" t="s">
        <v>511</v>
      </c>
      <c r="D297" s="7" t="s">
        <v>512</v>
      </c>
      <c r="E297" s="12">
        <v>1</v>
      </c>
      <c r="F297" s="13"/>
      <c r="G297" s="7"/>
      <c r="H297" s="7"/>
      <c r="I297" s="7"/>
      <c r="J297" s="7">
        <v>0.11</v>
      </c>
      <c r="K297" s="7">
        <v>0.11</v>
      </c>
      <c r="L297" s="7" t="s">
        <v>11</v>
      </c>
      <c r="M297" s="7" t="s">
        <v>40</v>
      </c>
      <c r="N297" s="17" t="s">
        <v>68</v>
      </c>
    </row>
    <row r="298" ht="17.25" customHeight="1" spans="1:14">
      <c r="A298" s="7"/>
      <c r="B298" s="7" t="s">
        <v>513</v>
      </c>
      <c r="C298" s="7" t="s">
        <v>514</v>
      </c>
      <c r="D298" s="7" t="s">
        <v>515</v>
      </c>
      <c r="E298" s="12">
        <v>1</v>
      </c>
      <c r="F298" s="13"/>
      <c r="G298" s="7"/>
      <c r="H298" s="7"/>
      <c r="I298" s="7"/>
      <c r="J298" s="7">
        <v>4</v>
      </c>
      <c r="K298" s="7">
        <v>4</v>
      </c>
      <c r="L298" s="7" t="s">
        <v>11</v>
      </c>
      <c r="M298" s="7" t="s">
        <v>11</v>
      </c>
      <c r="N298" s="17" t="s">
        <v>516</v>
      </c>
    </row>
    <row r="299" ht="17.25" customHeight="1" spans="1:14">
      <c r="A299" s="7"/>
      <c r="B299" s="7" t="s">
        <v>517</v>
      </c>
      <c r="C299" s="7" t="s">
        <v>518</v>
      </c>
      <c r="D299" s="7" t="s">
        <v>519</v>
      </c>
      <c r="E299" s="12">
        <v>1</v>
      </c>
      <c r="F299" s="13"/>
      <c r="G299" s="7"/>
      <c r="H299" s="7"/>
      <c r="I299" s="7"/>
      <c r="J299" s="7">
        <v>0.38</v>
      </c>
      <c r="K299" s="7">
        <v>0.38</v>
      </c>
      <c r="L299" s="7" t="s">
        <v>11</v>
      </c>
      <c r="M299" s="7" t="s">
        <v>40</v>
      </c>
      <c r="N299" s="17" t="s">
        <v>520</v>
      </c>
    </row>
    <row r="300" ht="17.25" customHeight="1" spans="1:14">
      <c r="A300" s="7"/>
      <c r="B300" s="7" t="s">
        <v>521</v>
      </c>
      <c r="C300" s="7" t="s">
        <v>522</v>
      </c>
      <c r="D300" s="7" t="s">
        <v>523</v>
      </c>
      <c r="E300" s="12">
        <v>1</v>
      </c>
      <c r="F300" s="13"/>
      <c r="G300" s="7"/>
      <c r="H300" s="7"/>
      <c r="I300" s="7"/>
      <c r="J300" s="7">
        <v>0.05</v>
      </c>
      <c r="K300" s="7">
        <v>0.05</v>
      </c>
      <c r="L300" s="7" t="s">
        <v>11</v>
      </c>
      <c r="M300" s="7" t="s">
        <v>11</v>
      </c>
      <c r="N300" s="17" t="s">
        <v>524</v>
      </c>
    </row>
    <row r="301" ht="17.25" customHeight="1" spans="1:14">
      <c r="A301" s="7"/>
      <c r="B301" s="7" t="s">
        <v>525</v>
      </c>
      <c r="C301" s="7" t="s">
        <v>526</v>
      </c>
      <c r="D301" s="7" t="s">
        <v>527</v>
      </c>
      <c r="E301" s="12">
        <v>1</v>
      </c>
      <c r="F301" s="13"/>
      <c r="G301" s="7"/>
      <c r="H301" s="7"/>
      <c r="I301" s="7"/>
      <c r="J301" s="7">
        <v>3.25</v>
      </c>
      <c r="K301" s="7">
        <v>3.25</v>
      </c>
      <c r="L301" s="7" t="s">
        <v>11</v>
      </c>
      <c r="M301" s="7" t="s">
        <v>40</v>
      </c>
      <c r="N301" s="17" t="s">
        <v>528</v>
      </c>
    </row>
    <row r="302" ht="17.25" customHeight="1" spans="1:14">
      <c r="A302" s="7"/>
      <c r="B302" s="7" t="s">
        <v>529</v>
      </c>
      <c r="C302" s="7" t="s">
        <v>530</v>
      </c>
      <c r="D302" s="7" t="s">
        <v>531</v>
      </c>
      <c r="E302" s="12">
        <v>1</v>
      </c>
      <c r="F302" s="13"/>
      <c r="G302" s="7"/>
      <c r="H302" s="7"/>
      <c r="I302" s="7"/>
      <c r="J302" s="7">
        <v>0.08</v>
      </c>
      <c r="K302" s="7">
        <v>0.08</v>
      </c>
      <c r="L302" s="7" t="s">
        <v>11</v>
      </c>
      <c r="M302" s="7" t="s">
        <v>40</v>
      </c>
      <c r="N302" s="17" t="s">
        <v>11</v>
      </c>
    </row>
    <row r="303" ht="17.25" customHeight="1" spans="1:14">
      <c r="A303" s="7"/>
      <c r="B303" s="7" t="s">
        <v>532</v>
      </c>
      <c r="C303" s="7" t="s">
        <v>533</v>
      </c>
      <c r="D303" s="7" t="s">
        <v>534</v>
      </c>
      <c r="E303" s="12">
        <v>1</v>
      </c>
      <c r="F303" s="13"/>
      <c r="G303" s="7"/>
      <c r="H303" s="7"/>
      <c r="I303" s="7"/>
      <c r="J303" s="7">
        <v>0.08</v>
      </c>
      <c r="K303" s="7">
        <v>0.08</v>
      </c>
      <c r="L303" s="7" t="s">
        <v>11</v>
      </c>
      <c r="M303" s="7" t="s">
        <v>40</v>
      </c>
      <c r="N303" s="17" t="s">
        <v>11</v>
      </c>
    </row>
    <row r="304" ht="17.25" customHeight="1" spans="1:14">
      <c r="A304" s="7"/>
      <c r="B304" s="7" t="s">
        <v>535</v>
      </c>
      <c r="C304" s="7" t="s">
        <v>536</v>
      </c>
      <c r="D304" s="7" t="s">
        <v>537</v>
      </c>
      <c r="E304" s="12">
        <v>1</v>
      </c>
      <c r="F304" s="13"/>
      <c r="G304" s="7"/>
      <c r="H304" s="7"/>
      <c r="I304" s="7"/>
      <c r="J304" s="7">
        <v>0.03</v>
      </c>
      <c r="K304" s="7">
        <v>0.03</v>
      </c>
      <c r="L304" s="7" t="s">
        <v>11</v>
      </c>
      <c r="M304" s="7" t="s">
        <v>11</v>
      </c>
      <c r="N304" s="17" t="s">
        <v>11</v>
      </c>
    </row>
    <row r="305" ht="17.25" customHeight="1" spans="1:14">
      <c r="A305" s="7"/>
      <c r="B305" s="7" t="s">
        <v>538</v>
      </c>
      <c r="C305" s="7" t="s">
        <v>539</v>
      </c>
      <c r="D305" s="7" t="s">
        <v>540</v>
      </c>
      <c r="E305" s="12">
        <v>1</v>
      </c>
      <c r="F305" s="13"/>
      <c r="G305" s="7"/>
      <c r="H305" s="7"/>
      <c r="I305" s="7"/>
      <c r="J305" s="7">
        <v>0.06</v>
      </c>
      <c r="K305" s="7">
        <v>0.06</v>
      </c>
      <c r="L305" s="7" t="s">
        <v>11</v>
      </c>
      <c r="M305" s="7" t="s">
        <v>11</v>
      </c>
      <c r="N305" s="17" t="s">
        <v>11</v>
      </c>
    </row>
    <row r="306" ht="17.25" customHeight="1" spans="1:14">
      <c r="A306" s="7"/>
      <c r="B306" s="7" t="s">
        <v>541</v>
      </c>
      <c r="C306" s="7" t="s">
        <v>542</v>
      </c>
      <c r="D306" s="7" t="s">
        <v>543</v>
      </c>
      <c r="E306" s="12">
        <v>1</v>
      </c>
      <c r="F306" s="13"/>
      <c r="G306" s="7"/>
      <c r="H306" s="7"/>
      <c r="I306" s="7"/>
      <c r="J306" s="7">
        <v>0.013</v>
      </c>
      <c r="K306" s="7">
        <v>0.013</v>
      </c>
      <c r="L306" s="7" t="s">
        <v>11</v>
      </c>
      <c r="M306" s="7" t="s">
        <v>11</v>
      </c>
      <c r="N306" s="17" t="s">
        <v>11</v>
      </c>
    </row>
    <row r="307" ht="17.25" customHeight="1" spans="1:14">
      <c r="A307" s="7"/>
      <c r="B307" s="7" t="s">
        <v>102</v>
      </c>
      <c r="C307" s="7" t="s">
        <v>103</v>
      </c>
      <c r="D307" s="7" t="s">
        <v>104</v>
      </c>
      <c r="E307" s="12">
        <v>1</v>
      </c>
      <c r="F307" s="13"/>
      <c r="G307" s="7"/>
      <c r="H307" s="7"/>
      <c r="I307" s="7"/>
      <c r="J307" s="7">
        <v>0.01</v>
      </c>
      <c r="K307" s="7">
        <v>0.01</v>
      </c>
      <c r="L307" s="7" t="s">
        <v>11</v>
      </c>
      <c r="M307" s="7" t="s">
        <v>11</v>
      </c>
      <c r="N307" s="17" t="s">
        <v>11</v>
      </c>
    </row>
    <row r="308" ht="17.25" customHeight="1" spans="1:14">
      <c r="A308" s="7"/>
      <c r="B308" s="7" t="s">
        <v>544</v>
      </c>
      <c r="C308" s="7" t="s">
        <v>545</v>
      </c>
      <c r="D308" s="7" t="s">
        <v>546</v>
      </c>
      <c r="E308" s="12">
        <v>1</v>
      </c>
      <c r="F308" s="13"/>
      <c r="G308" s="7"/>
      <c r="H308" s="7"/>
      <c r="I308" s="7"/>
      <c r="J308" s="7">
        <v>0.03</v>
      </c>
      <c r="K308" s="7">
        <v>0.03</v>
      </c>
      <c r="L308" s="7" t="s">
        <v>11</v>
      </c>
      <c r="M308" s="7" t="s">
        <v>11</v>
      </c>
      <c r="N308" s="17" t="s">
        <v>11</v>
      </c>
    </row>
    <row r="309" ht="17.25" customHeight="1" spans="1:14">
      <c r="A309" s="7"/>
      <c r="B309" s="7" t="s">
        <v>547</v>
      </c>
      <c r="C309" s="7" t="s">
        <v>548</v>
      </c>
      <c r="D309" s="7" t="s">
        <v>549</v>
      </c>
      <c r="E309" s="12">
        <v>1</v>
      </c>
      <c r="F309" s="13"/>
      <c r="G309" s="7"/>
      <c r="H309" s="7"/>
      <c r="I309" s="7"/>
      <c r="J309" s="7">
        <v>0.004</v>
      </c>
      <c r="K309" s="7">
        <v>0.004</v>
      </c>
      <c r="L309" s="7" t="s">
        <v>11</v>
      </c>
      <c r="M309" s="7" t="s">
        <v>11</v>
      </c>
      <c r="N309" s="17" t="s">
        <v>11</v>
      </c>
    </row>
    <row r="310" ht="17.25" customHeight="1" spans="1:14">
      <c r="A310" s="7"/>
      <c r="B310" s="7" t="s">
        <v>550</v>
      </c>
      <c r="C310" s="7" t="s">
        <v>551</v>
      </c>
      <c r="D310" s="7" t="s">
        <v>552</v>
      </c>
      <c r="E310" s="12">
        <v>1</v>
      </c>
      <c r="F310" s="13"/>
      <c r="G310" s="7"/>
      <c r="H310" s="7"/>
      <c r="I310" s="7"/>
      <c r="J310" s="7">
        <v>0.04</v>
      </c>
      <c r="K310" s="7">
        <v>0.04</v>
      </c>
      <c r="L310" s="7" t="s">
        <v>11</v>
      </c>
      <c r="M310" s="7" t="s">
        <v>11</v>
      </c>
      <c r="N310" s="17" t="s">
        <v>11</v>
      </c>
    </row>
    <row r="311" ht="17.25" customHeight="1" spans="1:14">
      <c r="A311" s="7"/>
      <c r="B311" s="7" t="s">
        <v>553</v>
      </c>
      <c r="C311" s="7" t="s">
        <v>554</v>
      </c>
      <c r="D311" s="7" t="s">
        <v>555</v>
      </c>
      <c r="E311" s="12">
        <v>1</v>
      </c>
      <c r="F311" s="13"/>
      <c r="G311" s="7"/>
      <c r="H311" s="7"/>
      <c r="I311" s="7"/>
      <c r="J311" s="7">
        <v>0.02</v>
      </c>
      <c r="K311" s="7">
        <v>0.02</v>
      </c>
      <c r="L311" s="7" t="s">
        <v>11</v>
      </c>
      <c r="M311" s="7" t="s">
        <v>11</v>
      </c>
      <c r="N311" s="17" t="s">
        <v>11</v>
      </c>
    </row>
    <row r="312" ht="17.25" customHeight="1" spans="1:14">
      <c r="A312" s="7"/>
      <c r="B312" s="7" t="s">
        <v>556</v>
      </c>
      <c r="C312" s="7" t="s">
        <v>557</v>
      </c>
      <c r="D312" s="7" t="s">
        <v>558</v>
      </c>
      <c r="E312" s="12">
        <v>1</v>
      </c>
      <c r="F312" s="13"/>
      <c r="G312" s="7"/>
      <c r="H312" s="7"/>
      <c r="I312" s="7"/>
      <c r="J312" s="7">
        <v>0.08</v>
      </c>
      <c r="K312" s="7">
        <v>0.08</v>
      </c>
      <c r="L312" s="7" t="s">
        <v>11</v>
      </c>
      <c r="M312" s="7" t="s">
        <v>40</v>
      </c>
      <c r="N312" s="17" t="s">
        <v>11</v>
      </c>
    </row>
    <row r="313" ht="17.25" customHeight="1" spans="1:14">
      <c r="A313" s="7"/>
      <c r="B313" s="7" t="s">
        <v>117</v>
      </c>
      <c r="C313" s="7" t="s">
        <v>118</v>
      </c>
      <c r="D313" s="7" t="s">
        <v>119</v>
      </c>
      <c r="E313" s="12">
        <v>1</v>
      </c>
      <c r="F313" s="7"/>
      <c r="G313" s="7"/>
      <c r="H313" s="7"/>
      <c r="I313" s="7"/>
      <c r="J313" s="7"/>
      <c r="K313" s="7"/>
      <c r="L313" s="7"/>
      <c r="M313" s="7"/>
      <c r="N313" s="17"/>
    </row>
    <row r="314" ht="17.25" customHeight="1" spans="1:14">
      <c r="A314" s="9"/>
      <c r="B314" s="9" t="s">
        <v>462</v>
      </c>
      <c r="C314" s="9"/>
      <c r="D314" s="10" t="s">
        <v>120</v>
      </c>
      <c r="E314" s="14">
        <v>1</v>
      </c>
      <c r="F314" s="9">
        <f>SUMPRODUCT(F277:F313*E277:E313)</f>
        <v>0.164112</v>
      </c>
      <c r="G314" s="10" t="s">
        <v>121</v>
      </c>
      <c r="H314" s="10" t="s">
        <v>121</v>
      </c>
      <c r="I314" s="10" t="s">
        <v>121</v>
      </c>
      <c r="J314" s="9">
        <f>SUMPRODUCT(J277:J313*E277:E313)</f>
        <v>37.253</v>
      </c>
      <c r="K314" s="9">
        <f>SUMPRODUCT(K277:K313*E277:E313)</f>
        <v>37.253</v>
      </c>
      <c r="L314" s="9"/>
      <c r="M314" s="9"/>
      <c r="N314" s="18"/>
    </row>
    <row r="315" ht="17.25" customHeight="1" spans="1:14">
      <c r="A315" s="9"/>
      <c r="B315" s="9" t="s">
        <v>122</v>
      </c>
      <c r="C315" s="9" t="s">
        <v>462</v>
      </c>
      <c r="D315" s="10" t="s">
        <v>17</v>
      </c>
      <c r="E315" s="14">
        <v>1</v>
      </c>
      <c r="F315" s="9">
        <f>E315*SUMPRODUCT(F277:F313*E277:E313)</f>
        <v>0.164112</v>
      </c>
      <c r="G315" s="10">
        <v>0</v>
      </c>
      <c r="H315" s="10">
        <v>0</v>
      </c>
      <c r="I315" s="10">
        <v>0</v>
      </c>
      <c r="J315" s="9">
        <f>E315*SUMPRODUCT(J277:J313*E277:E313)</f>
        <v>37.253</v>
      </c>
      <c r="K315" s="9">
        <f>E315*SUMPRODUCT(K277:K313*E277:E313)</f>
        <v>37.253</v>
      </c>
      <c r="L315" s="9"/>
      <c r="M315" s="9"/>
      <c r="N315" s="18"/>
    </row>
    <row r="316" ht="17.25" customHeight="1" spans="1:14">
      <c r="A316" s="9"/>
      <c r="B316" s="9" t="s">
        <v>123</v>
      </c>
      <c r="C316" s="9" t="s">
        <v>460</v>
      </c>
      <c r="D316" s="9"/>
      <c r="E316" s="14"/>
      <c r="F316" s="9"/>
      <c r="G316" s="9">
        <f>G315</f>
        <v>0</v>
      </c>
      <c r="H316" s="9">
        <f>H315</f>
        <v>0</v>
      </c>
      <c r="I316" s="9">
        <f>I315</f>
        <v>0</v>
      </c>
      <c r="J316" s="9">
        <f>J315</f>
        <v>37.253</v>
      </c>
      <c r="K316" s="9">
        <f>K315</f>
        <v>37.253</v>
      </c>
      <c r="L316" s="9"/>
      <c r="M316" s="9"/>
      <c r="N316" s="19"/>
    </row>
    <row r="317" ht="23" customHeight="1" spans="1:14">
      <c r="A317" s="6" t="s">
        <v>559</v>
      </c>
      <c r="B317" s="6" t="s">
        <v>560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16"/>
    </row>
    <row r="318" ht="17.25" customHeight="1" spans="1:14">
      <c r="A318" s="7" t="s">
        <v>561</v>
      </c>
      <c r="B318" s="8" t="s">
        <v>562</v>
      </c>
      <c r="C318" s="8"/>
      <c r="D318" s="7"/>
      <c r="E318" s="12"/>
      <c r="F318" s="7"/>
      <c r="G318" s="7"/>
      <c r="J318" s="7"/>
      <c r="K318" s="7"/>
      <c r="L318" s="7"/>
      <c r="M318" s="7"/>
      <c r="N318" s="17"/>
    </row>
    <row r="319" ht="17.25" customHeight="1" spans="1:14">
      <c r="A319" s="7"/>
      <c r="B319" s="7" t="s">
        <v>563</v>
      </c>
      <c r="C319" s="7" t="s">
        <v>564</v>
      </c>
      <c r="D319" s="7" t="s">
        <v>565</v>
      </c>
      <c r="E319" s="12">
        <v>1</v>
      </c>
      <c r="F319" s="13">
        <v>0.034563</v>
      </c>
      <c r="G319" s="7">
        <v>97</v>
      </c>
      <c r="H319" s="7">
        <v>43</v>
      </c>
      <c r="I319" s="7">
        <v>58</v>
      </c>
      <c r="J319" s="7">
        <v>5.55</v>
      </c>
      <c r="K319" s="7">
        <v>4.1</v>
      </c>
      <c r="L319" s="7" t="s">
        <v>566</v>
      </c>
      <c r="M319" s="7" t="s">
        <v>567</v>
      </c>
      <c r="N319" s="17" t="s">
        <v>568</v>
      </c>
    </row>
    <row r="320" ht="17.25" customHeight="1" spans="1:14">
      <c r="A320" s="7"/>
      <c r="B320" s="7" t="s">
        <v>569</v>
      </c>
      <c r="C320" s="7" t="s">
        <v>570</v>
      </c>
      <c r="D320" s="7" t="s">
        <v>571</v>
      </c>
      <c r="E320" s="12">
        <v>1</v>
      </c>
      <c r="F320" s="13">
        <v>0.0049793</v>
      </c>
      <c r="G320" s="7">
        <v>0</v>
      </c>
      <c r="H320" s="7">
        <v>0</v>
      </c>
      <c r="I320" s="7">
        <v>0</v>
      </c>
      <c r="J320" s="7">
        <v>0.6</v>
      </c>
      <c r="K320" s="7">
        <v>0.35</v>
      </c>
      <c r="L320" s="7" t="s">
        <v>11</v>
      </c>
      <c r="M320" s="7" t="s">
        <v>11</v>
      </c>
      <c r="N320" s="17" t="s">
        <v>572</v>
      </c>
    </row>
    <row r="321" ht="17.25" customHeight="1" spans="1:14">
      <c r="A321" s="7"/>
      <c r="B321" s="7" t="s">
        <v>573</v>
      </c>
      <c r="C321" s="7" t="s">
        <v>574</v>
      </c>
      <c r="D321" s="7" t="s">
        <v>575</v>
      </c>
      <c r="E321" s="12">
        <v>2</v>
      </c>
      <c r="F321" s="13">
        <v>0.0002745</v>
      </c>
      <c r="G321" s="7"/>
      <c r="H321" s="7"/>
      <c r="I321" s="7"/>
      <c r="J321" s="7">
        <v>0.09</v>
      </c>
      <c r="K321" s="7">
        <v>0.07</v>
      </c>
      <c r="L321" s="7" t="s">
        <v>11</v>
      </c>
      <c r="M321" s="7" t="s">
        <v>11</v>
      </c>
      <c r="N321" s="17" t="s">
        <v>576</v>
      </c>
    </row>
    <row r="322" ht="17.25" customHeight="1" spans="1:14">
      <c r="A322" s="7"/>
      <c r="B322" s="7" t="s">
        <v>577</v>
      </c>
      <c r="C322" s="7" t="s">
        <v>578</v>
      </c>
      <c r="D322" s="7" t="s">
        <v>579</v>
      </c>
      <c r="E322" s="12">
        <v>2</v>
      </c>
      <c r="F322" s="13">
        <v>0.0058007</v>
      </c>
      <c r="G322" s="7"/>
      <c r="H322" s="7"/>
      <c r="I322" s="7"/>
      <c r="J322" s="7">
        <v>1.35</v>
      </c>
      <c r="K322" s="7">
        <v>0.8</v>
      </c>
      <c r="L322" s="7" t="s">
        <v>11</v>
      </c>
      <c r="M322" s="7" t="s">
        <v>11</v>
      </c>
      <c r="N322" s="17" t="s">
        <v>580</v>
      </c>
    </row>
    <row r="323" ht="17.25" customHeight="1" spans="1:14">
      <c r="A323" s="7"/>
      <c r="B323" s="7" t="s">
        <v>581</v>
      </c>
      <c r="C323" s="7" t="s">
        <v>582</v>
      </c>
      <c r="D323" s="7" t="s">
        <v>583</v>
      </c>
      <c r="E323" s="12">
        <v>2</v>
      </c>
      <c r="F323" s="13">
        <v>0.00092796</v>
      </c>
      <c r="G323" s="7">
        <v>10</v>
      </c>
      <c r="H323" s="7">
        <v>1</v>
      </c>
      <c r="I323" s="7">
        <v>3</v>
      </c>
      <c r="J323" s="7">
        <v>0.2</v>
      </c>
      <c r="K323" s="7">
        <v>0.15</v>
      </c>
      <c r="L323" s="7" t="s">
        <v>11</v>
      </c>
      <c r="M323" s="7" t="s">
        <v>11</v>
      </c>
      <c r="N323" s="17" t="s">
        <v>584</v>
      </c>
    </row>
    <row r="324" ht="17.25" customHeight="1" spans="1:14">
      <c r="A324" s="9"/>
      <c r="B324" s="9" t="s">
        <v>562</v>
      </c>
      <c r="C324" s="9"/>
      <c r="D324" s="10" t="s">
        <v>120</v>
      </c>
      <c r="E324" s="14">
        <v>1</v>
      </c>
      <c r="F324" s="9">
        <f>SUMPRODUCT(F319:F323*E319:E323)</f>
        <v>0.05354862</v>
      </c>
      <c r="G324" s="10" t="s">
        <v>585</v>
      </c>
      <c r="H324" s="10" t="s">
        <v>586</v>
      </c>
      <c r="I324" s="10" t="s">
        <v>587</v>
      </c>
      <c r="J324" s="9">
        <f>SUMPRODUCT(J319:J323*E319:E323)</f>
        <v>9.43</v>
      </c>
      <c r="K324" s="9">
        <f>SUMPRODUCT(K319:K323*E319:E323)</f>
        <v>6.49</v>
      </c>
      <c r="L324" s="9"/>
      <c r="M324" s="9"/>
      <c r="N324" s="18"/>
    </row>
    <row r="325" ht="17.25" customHeight="1" spans="1:14">
      <c r="A325" s="9"/>
      <c r="B325" s="9" t="s">
        <v>122</v>
      </c>
      <c r="C325" s="9" t="s">
        <v>562</v>
      </c>
      <c r="D325" s="10" t="s">
        <v>17</v>
      </c>
      <c r="E325" s="14">
        <v>4</v>
      </c>
      <c r="F325" s="9">
        <f>E325*SUMPRODUCT(F319:F323*E319:E323)</f>
        <v>0.21419448</v>
      </c>
      <c r="G325" s="10">
        <v>468</v>
      </c>
      <c r="H325" s="10">
        <v>180</v>
      </c>
      <c r="I325" s="10">
        <v>256</v>
      </c>
      <c r="J325" s="9">
        <f>E325*SUMPRODUCT(J319:J323*E319:E323)</f>
        <v>37.72</v>
      </c>
      <c r="K325" s="9">
        <f>E325*SUMPRODUCT(K319:K323*E319:E323)</f>
        <v>25.96</v>
      </c>
      <c r="L325" s="9"/>
      <c r="M325" s="9"/>
      <c r="N325" s="18"/>
    </row>
    <row r="326" ht="17.25" customHeight="1" spans="1:14">
      <c r="A326" s="9"/>
      <c r="B326" s="9" t="s">
        <v>123</v>
      </c>
      <c r="C326" s="9" t="s">
        <v>560</v>
      </c>
      <c r="D326" s="9"/>
      <c r="E326" s="14"/>
      <c r="F326" s="9"/>
      <c r="G326" s="9">
        <f>G325</f>
        <v>468</v>
      </c>
      <c r="H326" s="9">
        <f>H325</f>
        <v>180</v>
      </c>
      <c r="I326" s="9">
        <f>I325</f>
        <v>256</v>
      </c>
      <c r="J326" s="9">
        <f>J325</f>
        <v>37.72</v>
      </c>
      <c r="K326" s="9">
        <f>K325</f>
        <v>25.96</v>
      </c>
      <c r="L326" s="9"/>
      <c r="M326" s="9"/>
      <c r="N326" s="19"/>
    </row>
    <row r="327" ht="23" customHeight="1" spans="1:14">
      <c r="A327" s="6" t="s">
        <v>588</v>
      </c>
      <c r="B327" s="6" t="s">
        <v>589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16"/>
    </row>
    <row r="328" ht="17.25" customHeight="1" spans="1:14">
      <c r="A328" s="7" t="s">
        <v>590</v>
      </c>
      <c r="B328" s="8" t="s">
        <v>591</v>
      </c>
      <c r="C328" s="8"/>
      <c r="D328" s="7"/>
      <c r="E328" s="12"/>
      <c r="F328" s="7"/>
      <c r="G328" s="7"/>
      <c r="J328" s="7"/>
      <c r="K328" s="7"/>
      <c r="L328" s="7"/>
      <c r="M328" s="7"/>
      <c r="N328" s="17"/>
    </row>
    <row r="329" ht="17.25" customHeight="1" spans="1:14">
      <c r="A329" s="7"/>
      <c r="B329" s="7" t="s">
        <v>592</v>
      </c>
      <c r="C329" s="7" t="s">
        <v>593</v>
      </c>
      <c r="D329" s="7" t="s">
        <v>594</v>
      </c>
      <c r="E329" s="12">
        <v>1</v>
      </c>
      <c r="F329" s="13">
        <v>0.63883262</v>
      </c>
      <c r="G329" s="7">
        <v>1198</v>
      </c>
      <c r="H329" s="7">
        <v>514</v>
      </c>
      <c r="I329" s="7">
        <v>708</v>
      </c>
      <c r="J329" s="7">
        <v>82.9</v>
      </c>
      <c r="K329" s="7">
        <v>53.55</v>
      </c>
      <c r="L329" s="7" t="s">
        <v>595</v>
      </c>
      <c r="M329" s="7" t="s">
        <v>596</v>
      </c>
      <c r="N329" s="17" t="s">
        <v>597</v>
      </c>
    </row>
    <row r="330" ht="17.25" customHeight="1" spans="1:14">
      <c r="A330" s="7"/>
      <c r="B330" s="7" t="s">
        <v>598</v>
      </c>
      <c r="C330" s="7" t="s">
        <v>599</v>
      </c>
      <c r="D330" s="7" t="s">
        <v>600</v>
      </c>
      <c r="E330" s="12">
        <v>1</v>
      </c>
      <c r="F330" s="13">
        <v>0.09757125</v>
      </c>
      <c r="G330" s="7">
        <v>810</v>
      </c>
      <c r="H330" s="7">
        <v>450</v>
      </c>
      <c r="I330" s="7">
        <v>531</v>
      </c>
      <c r="J330" s="7">
        <v>12.4</v>
      </c>
      <c r="K330" s="7">
        <v>9.2</v>
      </c>
      <c r="L330" s="7" t="s">
        <v>11</v>
      </c>
      <c r="M330" s="7" t="s">
        <v>11</v>
      </c>
      <c r="N330" s="17" t="s">
        <v>601</v>
      </c>
    </row>
    <row r="331" ht="17.25" customHeight="1" spans="1:14">
      <c r="A331" s="7"/>
      <c r="B331" s="7" t="s">
        <v>602</v>
      </c>
      <c r="C331" s="7" t="s">
        <v>603</v>
      </c>
      <c r="D331" s="7" t="s">
        <v>604</v>
      </c>
      <c r="E331" s="12">
        <v>1</v>
      </c>
      <c r="F331" s="13">
        <v>0.09757125</v>
      </c>
      <c r="G331" s="7">
        <v>356</v>
      </c>
      <c r="H331" s="7">
        <v>193</v>
      </c>
      <c r="I331" s="7">
        <v>246</v>
      </c>
      <c r="J331" s="7">
        <v>11</v>
      </c>
      <c r="K331" s="7">
        <v>8</v>
      </c>
      <c r="L331" s="7" t="s">
        <v>11</v>
      </c>
      <c r="M331" s="7" t="s">
        <v>11</v>
      </c>
      <c r="N331" s="17" t="s">
        <v>601</v>
      </c>
    </row>
    <row r="332" ht="17.25" customHeight="1" spans="1:14">
      <c r="A332" s="7"/>
      <c r="B332" s="7" t="s">
        <v>605</v>
      </c>
      <c r="C332" s="7" t="s">
        <v>606</v>
      </c>
      <c r="D332" s="7" t="s">
        <v>575</v>
      </c>
      <c r="E332" s="12">
        <v>24</v>
      </c>
      <c r="F332" s="13">
        <v>0.0002745</v>
      </c>
      <c r="G332" s="7"/>
      <c r="H332" s="7"/>
      <c r="I332" s="7"/>
      <c r="J332" s="7">
        <v>0.09</v>
      </c>
      <c r="K332" s="7">
        <v>0.07</v>
      </c>
      <c r="L332" s="7" t="s">
        <v>11</v>
      </c>
      <c r="M332" s="7" t="s">
        <v>11</v>
      </c>
      <c r="N332" s="17" t="s">
        <v>576</v>
      </c>
    </row>
    <row r="333" ht="17.25" customHeight="1" spans="1:14">
      <c r="A333" s="7"/>
      <c r="B333" s="7" t="s">
        <v>607</v>
      </c>
      <c r="C333" s="7" t="s">
        <v>608</v>
      </c>
      <c r="D333" s="7" t="s">
        <v>609</v>
      </c>
      <c r="E333" s="12">
        <v>1</v>
      </c>
      <c r="F333" s="13">
        <v>0.0091561</v>
      </c>
      <c r="G333" s="20"/>
      <c r="H333" s="20"/>
      <c r="I333" s="20"/>
      <c r="J333" s="7">
        <v>1.4</v>
      </c>
      <c r="K333" s="7">
        <v>0.6</v>
      </c>
      <c r="L333" s="7" t="s">
        <v>11</v>
      </c>
      <c r="M333" s="7" t="s">
        <v>11</v>
      </c>
      <c r="N333" s="17" t="s">
        <v>610</v>
      </c>
    </row>
    <row r="334" ht="17.25" customHeight="1" spans="1:14">
      <c r="A334" s="7"/>
      <c r="B334" s="7" t="s">
        <v>611</v>
      </c>
      <c r="C334" s="7" t="s">
        <v>612</v>
      </c>
      <c r="D334" s="7" t="s">
        <v>279</v>
      </c>
      <c r="E334" s="12">
        <v>12</v>
      </c>
      <c r="F334" s="13">
        <v>0.0001932</v>
      </c>
      <c r="G334" s="20"/>
      <c r="H334" s="20"/>
      <c r="I334" s="20"/>
      <c r="J334" s="7">
        <v>0.05</v>
      </c>
      <c r="K334" s="7">
        <v>0.03</v>
      </c>
      <c r="L334" s="7" t="s">
        <v>11</v>
      </c>
      <c r="M334" s="7" t="s">
        <v>11</v>
      </c>
      <c r="N334" s="17" t="s">
        <v>72</v>
      </c>
    </row>
    <row r="335" ht="17.25" customHeight="1" spans="1:14">
      <c r="A335" s="7"/>
      <c r="B335" s="7" t="s">
        <v>613</v>
      </c>
      <c r="C335" s="7" t="s">
        <v>614</v>
      </c>
      <c r="D335" s="7" t="s">
        <v>615</v>
      </c>
      <c r="E335" s="12">
        <v>1</v>
      </c>
      <c r="F335" s="13">
        <v>0.023030904</v>
      </c>
      <c r="G335" s="7">
        <v>0</v>
      </c>
      <c r="H335" s="7">
        <v>0</v>
      </c>
      <c r="I335" s="7">
        <v>0</v>
      </c>
      <c r="J335" s="7">
        <v>5.45</v>
      </c>
      <c r="K335" s="7">
        <v>4.4</v>
      </c>
      <c r="L335" s="7" t="s">
        <v>11</v>
      </c>
      <c r="M335" s="7" t="s">
        <v>11</v>
      </c>
      <c r="N335" s="17" t="s">
        <v>616</v>
      </c>
    </row>
    <row r="336" ht="17.25" customHeight="1" spans="1:14">
      <c r="A336" s="7"/>
      <c r="B336" s="7" t="s">
        <v>617</v>
      </c>
      <c r="C336" s="7" t="s">
        <v>618</v>
      </c>
      <c r="D336" s="7" t="s">
        <v>619</v>
      </c>
      <c r="E336" s="12">
        <v>3</v>
      </c>
      <c r="F336" s="13">
        <v>0.011173149</v>
      </c>
      <c r="G336" s="7">
        <v>0</v>
      </c>
      <c r="H336" s="7">
        <v>0</v>
      </c>
      <c r="I336" s="7">
        <v>0</v>
      </c>
      <c r="J336" s="7">
        <v>1.45</v>
      </c>
      <c r="K336" s="20"/>
      <c r="L336" s="7" t="s">
        <v>11</v>
      </c>
      <c r="M336" s="7" t="s">
        <v>11</v>
      </c>
      <c r="N336" s="17" t="s">
        <v>620</v>
      </c>
    </row>
    <row r="337" ht="17.25" customHeight="1" spans="1:14">
      <c r="A337" s="9"/>
      <c r="B337" s="9" t="s">
        <v>591</v>
      </c>
      <c r="C337" s="9"/>
      <c r="D337" s="10" t="s">
        <v>120</v>
      </c>
      <c r="E337" s="14">
        <v>1</v>
      </c>
      <c r="F337" s="9">
        <f>SUMPRODUCT(F329:F336*E329:E336)</f>
        <v>0.908587971</v>
      </c>
      <c r="G337" s="10" t="s">
        <v>621</v>
      </c>
      <c r="H337" s="10" t="s">
        <v>622</v>
      </c>
      <c r="I337" s="10" t="s">
        <v>623</v>
      </c>
      <c r="J337" s="9">
        <f>SUMPRODUCT(J329:J336*E329:E336)</f>
        <v>120.26</v>
      </c>
      <c r="K337" s="9">
        <f>SUMPRODUCT(K329:K336*E329:E336)</f>
        <v>77.79</v>
      </c>
      <c r="L337" s="9"/>
      <c r="M337" s="9"/>
      <c r="N337" s="18"/>
    </row>
    <row r="338" ht="17.25" customHeight="1" spans="1:14">
      <c r="A338" s="9"/>
      <c r="B338" s="9" t="s">
        <v>122</v>
      </c>
      <c r="C338" s="9" t="s">
        <v>591</v>
      </c>
      <c r="D338" s="10" t="s">
        <v>17</v>
      </c>
      <c r="E338" s="14">
        <v>2</v>
      </c>
      <c r="F338" s="9">
        <f>E338*SUMPRODUCT(F329:F336*E329:E336)</f>
        <v>1.817175942</v>
      </c>
      <c r="G338" s="10">
        <v>4728</v>
      </c>
      <c r="H338" s="10">
        <v>2314</v>
      </c>
      <c r="I338" s="10">
        <v>2970</v>
      </c>
      <c r="J338" s="9">
        <f>E338*SUMPRODUCT(J329:J336*E329:E336)</f>
        <v>240.52</v>
      </c>
      <c r="K338" s="9">
        <f>E338*SUMPRODUCT(K329:K336*E329:E336)</f>
        <v>155.58</v>
      </c>
      <c r="L338" s="9"/>
      <c r="M338" s="9"/>
      <c r="N338" s="18"/>
    </row>
    <row r="339" ht="17.25" customHeight="1" spans="1:14">
      <c r="A339" s="9"/>
      <c r="B339" s="9" t="s">
        <v>123</v>
      </c>
      <c r="C339" s="9" t="s">
        <v>589</v>
      </c>
      <c r="D339" s="9"/>
      <c r="E339" s="14"/>
      <c r="F339" s="9"/>
      <c r="G339" s="9">
        <f>G338</f>
        <v>4728</v>
      </c>
      <c r="H339" s="9">
        <f>H338</f>
        <v>2314</v>
      </c>
      <c r="I339" s="9">
        <f>I338</f>
        <v>2970</v>
      </c>
      <c r="J339" s="9">
        <f>J338</f>
        <v>240.52</v>
      </c>
      <c r="K339" s="9">
        <f>K338</f>
        <v>155.58</v>
      </c>
      <c r="L339" s="9"/>
      <c r="M339" s="9"/>
      <c r="N339" s="19"/>
    </row>
    <row r="340" ht="23" customHeight="1" spans="1:14">
      <c r="A340" s="6" t="s">
        <v>624</v>
      </c>
      <c r="B340" s="6" t="s">
        <v>625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16"/>
    </row>
    <row r="341" ht="17.25" customHeight="1" spans="1:14">
      <c r="A341" s="7" t="s">
        <v>626</v>
      </c>
      <c r="B341" s="8" t="s">
        <v>627</v>
      </c>
      <c r="C341" s="8"/>
      <c r="D341" s="7"/>
      <c r="E341" s="12"/>
      <c r="F341" s="7"/>
      <c r="G341" s="7"/>
      <c r="J341" s="7"/>
      <c r="K341" s="7"/>
      <c r="L341" s="7"/>
      <c r="M341" s="7"/>
      <c r="N341" s="17"/>
    </row>
    <row r="342" ht="17.25" customHeight="1" spans="1:14">
      <c r="A342" s="7"/>
      <c r="B342" s="7" t="s">
        <v>628</v>
      </c>
      <c r="C342" s="7" t="s">
        <v>629</v>
      </c>
      <c r="D342" s="7" t="s">
        <v>630</v>
      </c>
      <c r="E342" s="12">
        <v>1</v>
      </c>
      <c r="F342" s="13">
        <v>0.07305784</v>
      </c>
      <c r="G342" s="7">
        <v>210</v>
      </c>
      <c r="H342" s="7">
        <v>99</v>
      </c>
      <c r="I342" s="7">
        <v>123</v>
      </c>
      <c r="J342" s="7">
        <v>11.65</v>
      </c>
      <c r="K342" s="7">
        <v>7.6</v>
      </c>
      <c r="L342" s="7" t="s">
        <v>631</v>
      </c>
      <c r="M342" s="7" t="s">
        <v>632</v>
      </c>
      <c r="N342" s="17" t="s">
        <v>633</v>
      </c>
    </row>
    <row r="343" ht="17.25" customHeight="1" spans="1:14">
      <c r="A343" s="7"/>
      <c r="B343" s="7" t="s">
        <v>573</v>
      </c>
      <c r="C343" s="7" t="s">
        <v>574</v>
      </c>
      <c r="D343" s="7" t="s">
        <v>575</v>
      </c>
      <c r="E343" s="12">
        <v>4</v>
      </c>
      <c r="F343" s="13">
        <v>0.0002745</v>
      </c>
      <c r="G343" s="7"/>
      <c r="H343" s="7"/>
      <c r="I343" s="7"/>
      <c r="J343" s="7">
        <v>0.09</v>
      </c>
      <c r="K343" s="7">
        <v>0.07</v>
      </c>
      <c r="L343" s="7" t="s">
        <v>11</v>
      </c>
      <c r="M343" s="7" t="s">
        <v>11</v>
      </c>
      <c r="N343" s="17" t="s">
        <v>576</v>
      </c>
    </row>
    <row r="344" ht="17.25" customHeight="1" spans="1:14">
      <c r="A344" s="7"/>
      <c r="B344" s="7" t="s">
        <v>634</v>
      </c>
      <c r="C344" s="7" t="s">
        <v>635</v>
      </c>
      <c r="D344" s="7" t="s">
        <v>636</v>
      </c>
      <c r="E344" s="12">
        <v>2</v>
      </c>
      <c r="F344" s="13">
        <v>0.0076551</v>
      </c>
      <c r="G344" s="7"/>
      <c r="H344" s="7"/>
      <c r="I344" s="7"/>
      <c r="J344" s="7">
        <v>0.5</v>
      </c>
      <c r="K344" s="20"/>
      <c r="L344" s="7" t="s">
        <v>11</v>
      </c>
      <c r="M344" s="7" t="s">
        <v>11</v>
      </c>
      <c r="N344" s="17" t="s">
        <v>637</v>
      </c>
    </row>
    <row r="345" ht="17.25" customHeight="1" spans="1:14">
      <c r="A345" s="7"/>
      <c r="B345" s="7" t="s">
        <v>638</v>
      </c>
      <c r="C345" s="7" t="s">
        <v>639</v>
      </c>
      <c r="D345" s="7" t="s">
        <v>71</v>
      </c>
      <c r="E345" s="12">
        <v>48</v>
      </c>
      <c r="F345" s="13">
        <v>0.0001932</v>
      </c>
      <c r="G345" s="7"/>
      <c r="H345" s="7"/>
      <c r="I345" s="7"/>
      <c r="J345" s="7">
        <v>0.05</v>
      </c>
      <c r="K345" s="7">
        <v>0.03</v>
      </c>
      <c r="L345" s="7" t="s">
        <v>11</v>
      </c>
      <c r="M345" s="7" t="s">
        <v>11</v>
      </c>
      <c r="N345" s="17" t="s">
        <v>72</v>
      </c>
    </row>
    <row r="346" ht="17.25" customHeight="1" spans="1:14">
      <c r="A346" s="9"/>
      <c r="B346" s="9" t="s">
        <v>627</v>
      </c>
      <c r="C346" s="9"/>
      <c r="D346" s="10" t="s">
        <v>120</v>
      </c>
      <c r="E346" s="14">
        <v>1</v>
      </c>
      <c r="F346" s="9">
        <f>SUMPRODUCT(F342:F345*E342:E345)</f>
        <v>0.09873964</v>
      </c>
      <c r="G346" s="10" t="s">
        <v>640</v>
      </c>
      <c r="H346" s="10" t="s">
        <v>641</v>
      </c>
      <c r="I346" s="10" t="s">
        <v>642</v>
      </c>
      <c r="J346" s="9">
        <f>SUMPRODUCT(J342:J345*E342:E345)</f>
        <v>15.41</v>
      </c>
      <c r="K346" s="9">
        <f>SUMPRODUCT(K342:K345*E342:E345)</f>
        <v>9.32</v>
      </c>
      <c r="L346" s="9"/>
      <c r="M346" s="9"/>
      <c r="N346" s="18"/>
    </row>
    <row r="347" ht="17.25" customHeight="1" spans="1:14">
      <c r="A347" s="9"/>
      <c r="B347" s="9" t="s">
        <v>122</v>
      </c>
      <c r="C347" s="9" t="s">
        <v>627</v>
      </c>
      <c r="D347" s="10" t="s">
        <v>17</v>
      </c>
      <c r="E347" s="14">
        <v>2</v>
      </c>
      <c r="F347" s="9">
        <f>E347*SUMPRODUCT(F342:F345*E342:E345)</f>
        <v>0.19747928</v>
      </c>
      <c r="G347" s="10">
        <v>420</v>
      </c>
      <c r="H347" s="10">
        <v>198</v>
      </c>
      <c r="I347" s="10">
        <v>246</v>
      </c>
      <c r="J347" s="9">
        <f>E347*SUMPRODUCT(J342:J345*E342:E345)</f>
        <v>30.82</v>
      </c>
      <c r="K347" s="9">
        <f>E347*SUMPRODUCT(K342:K345*E342:E345)</f>
        <v>18.64</v>
      </c>
      <c r="L347" s="9"/>
      <c r="M347" s="9"/>
      <c r="N347" s="18"/>
    </row>
    <row r="348" ht="17.25" customHeight="1" spans="1:14">
      <c r="A348" s="9"/>
      <c r="B348" s="9" t="s">
        <v>123</v>
      </c>
      <c r="C348" s="9" t="s">
        <v>625</v>
      </c>
      <c r="D348" s="9"/>
      <c r="E348" s="14"/>
      <c r="F348" s="9"/>
      <c r="G348" s="9">
        <f>G347</f>
        <v>420</v>
      </c>
      <c r="H348" s="9">
        <f>H347</f>
        <v>198</v>
      </c>
      <c r="I348" s="9">
        <f>I347</f>
        <v>246</v>
      </c>
      <c r="J348" s="9">
        <f>J347</f>
        <v>30.82</v>
      </c>
      <c r="K348" s="9">
        <f>K347</f>
        <v>18.64</v>
      </c>
      <c r="L348" s="9"/>
      <c r="M348" s="9"/>
      <c r="N348" s="19"/>
    </row>
    <row r="349" ht="23" customHeight="1" spans="1:14">
      <c r="A349" s="6" t="s">
        <v>643</v>
      </c>
      <c r="B349" s="6" t="s">
        <v>644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16"/>
    </row>
    <row r="350" ht="17.25" customHeight="1" spans="1:14">
      <c r="A350" s="7" t="s">
        <v>645</v>
      </c>
      <c r="B350" s="8" t="s">
        <v>627</v>
      </c>
      <c r="C350" s="8"/>
      <c r="D350" s="7"/>
      <c r="E350" s="12"/>
      <c r="F350" s="7"/>
      <c r="G350" s="7"/>
      <c r="J350" s="7"/>
      <c r="K350" s="7"/>
      <c r="L350" s="7"/>
      <c r="M350" s="7"/>
      <c r="N350" s="17"/>
    </row>
    <row r="351" ht="17.25" customHeight="1" spans="1:14">
      <c r="A351" s="7"/>
      <c r="B351" s="7" t="s">
        <v>628</v>
      </c>
      <c r="C351" s="7" t="s">
        <v>629</v>
      </c>
      <c r="D351" s="7" t="s">
        <v>630</v>
      </c>
      <c r="E351" s="12">
        <v>1</v>
      </c>
      <c r="F351" s="13">
        <v>0.07305784</v>
      </c>
      <c r="G351" s="7">
        <v>210</v>
      </c>
      <c r="H351" s="7">
        <v>99</v>
      </c>
      <c r="I351" s="7">
        <v>123</v>
      </c>
      <c r="J351" s="7">
        <v>11.65</v>
      </c>
      <c r="K351" s="7">
        <v>7.6</v>
      </c>
      <c r="L351" s="7" t="s">
        <v>631</v>
      </c>
      <c r="M351" s="7" t="s">
        <v>632</v>
      </c>
      <c r="N351" s="17" t="s">
        <v>633</v>
      </c>
    </row>
    <row r="352" ht="17.25" customHeight="1" spans="1:14">
      <c r="A352" s="7"/>
      <c r="B352" s="7" t="s">
        <v>634</v>
      </c>
      <c r="C352" s="7" t="s">
        <v>635</v>
      </c>
      <c r="D352" s="7" t="s">
        <v>636</v>
      </c>
      <c r="E352" s="12">
        <v>2</v>
      </c>
      <c r="F352" s="13">
        <v>0.0076551</v>
      </c>
      <c r="G352" s="7"/>
      <c r="H352" s="7"/>
      <c r="I352" s="7"/>
      <c r="J352" s="7">
        <v>0.5</v>
      </c>
      <c r="K352" s="20"/>
      <c r="L352" s="7" t="s">
        <v>11</v>
      </c>
      <c r="M352" s="7" t="s">
        <v>11</v>
      </c>
      <c r="N352" s="17" t="s">
        <v>637</v>
      </c>
    </row>
    <row r="353" ht="17.25" customHeight="1" spans="1:14">
      <c r="A353" s="7"/>
      <c r="B353" s="7" t="s">
        <v>573</v>
      </c>
      <c r="C353" s="7" t="s">
        <v>574</v>
      </c>
      <c r="D353" s="7" t="s">
        <v>575</v>
      </c>
      <c r="E353" s="12">
        <v>4</v>
      </c>
      <c r="F353" s="13">
        <v>0.0002745</v>
      </c>
      <c r="G353" s="7"/>
      <c r="H353" s="7"/>
      <c r="I353" s="7"/>
      <c r="J353" s="7">
        <v>0.09</v>
      </c>
      <c r="K353" s="7">
        <v>0.07</v>
      </c>
      <c r="L353" s="7" t="s">
        <v>11</v>
      </c>
      <c r="M353" s="7" t="s">
        <v>11</v>
      </c>
      <c r="N353" s="17" t="s">
        <v>576</v>
      </c>
    </row>
    <row r="354" ht="17.25" customHeight="1" spans="1:14">
      <c r="A354" s="7"/>
      <c r="B354" s="7" t="s">
        <v>646</v>
      </c>
      <c r="C354" s="7" t="s">
        <v>647</v>
      </c>
      <c r="D354" s="7" t="s">
        <v>648</v>
      </c>
      <c r="E354" s="12">
        <v>48</v>
      </c>
      <c r="F354" s="13">
        <v>0.0048776</v>
      </c>
      <c r="G354" s="7"/>
      <c r="H354" s="7"/>
      <c r="I354" s="7"/>
      <c r="J354" s="7">
        <v>0.55</v>
      </c>
      <c r="K354" s="20"/>
      <c r="L354" s="7" t="s">
        <v>11</v>
      </c>
      <c r="M354" s="7" t="s">
        <v>11</v>
      </c>
      <c r="N354" s="17" t="s">
        <v>649</v>
      </c>
    </row>
    <row r="355" ht="17.25" customHeight="1" spans="1:14">
      <c r="A355" s="9"/>
      <c r="B355" s="9" t="s">
        <v>627</v>
      </c>
      <c r="C355" s="9"/>
      <c r="D355" s="10" t="s">
        <v>120</v>
      </c>
      <c r="E355" s="14">
        <v>1</v>
      </c>
      <c r="F355" s="9">
        <f>SUMPRODUCT(F351:F354*E351:E354)</f>
        <v>0.32359084</v>
      </c>
      <c r="G355" s="10" t="s">
        <v>640</v>
      </c>
      <c r="H355" s="10" t="s">
        <v>641</v>
      </c>
      <c r="I355" s="10" t="s">
        <v>642</v>
      </c>
      <c r="J355" s="9">
        <f>SUMPRODUCT(J351:J354*E351:E354)</f>
        <v>39.41</v>
      </c>
      <c r="K355" s="9">
        <f>SUMPRODUCT(K351:K354*E351:E354)</f>
        <v>7.88</v>
      </c>
      <c r="L355" s="9"/>
      <c r="M355" s="9"/>
      <c r="N355" s="18"/>
    </row>
    <row r="356" ht="17.25" customHeight="1" spans="1:14">
      <c r="A356" s="9"/>
      <c r="B356" s="9" t="s">
        <v>122</v>
      </c>
      <c r="C356" s="9" t="s">
        <v>627</v>
      </c>
      <c r="D356" s="10" t="s">
        <v>17</v>
      </c>
      <c r="E356" s="14">
        <v>2</v>
      </c>
      <c r="F356" s="9">
        <f>E356*SUMPRODUCT(F351:F354*E351:E354)</f>
        <v>0.64718168</v>
      </c>
      <c r="G356" s="10">
        <v>420</v>
      </c>
      <c r="H356" s="10">
        <v>198</v>
      </c>
      <c r="I356" s="10">
        <v>246</v>
      </c>
      <c r="J356" s="9">
        <f>E356*SUMPRODUCT(J351:J354*E351:E354)</f>
        <v>78.82</v>
      </c>
      <c r="K356" s="9">
        <f>E356*SUMPRODUCT(K351:K354*E351:E354)</f>
        <v>15.76</v>
      </c>
      <c r="L356" s="9"/>
      <c r="M356" s="9"/>
      <c r="N356" s="18"/>
    </row>
    <row r="357" ht="17.25" customHeight="1" spans="1:14">
      <c r="A357" s="9"/>
      <c r="B357" s="9" t="s">
        <v>123</v>
      </c>
      <c r="C357" s="9" t="s">
        <v>644</v>
      </c>
      <c r="D357" s="9"/>
      <c r="E357" s="14"/>
      <c r="F357" s="9"/>
      <c r="G357" s="9">
        <f>G356</f>
        <v>420</v>
      </c>
      <c r="H357" s="9">
        <f>H356</f>
        <v>198</v>
      </c>
      <c r="I357" s="9">
        <f>I356</f>
        <v>246</v>
      </c>
      <c r="J357" s="9">
        <f>J356</f>
        <v>78.82</v>
      </c>
      <c r="K357" s="9">
        <f>K356</f>
        <v>15.76</v>
      </c>
      <c r="L357" s="9"/>
      <c r="M357" s="9"/>
      <c r="N357" s="19"/>
    </row>
    <row r="358" ht="23" customHeight="1" spans="1:14">
      <c r="A358" s="6" t="s">
        <v>650</v>
      </c>
      <c r="B358" s="6" t="s">
        <v>651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16"/>
    </row>
    <row r="359" ht="17.25" customHeight="1" spans="1:14">
      <c r="A359" s="7" t="s">
        <v>652</v>
      </c>
      <c r="B359" s="8" t="s">
        <v>627</v>
      </c>
      <c r="C359" s="8"/>
      <c r="D359" s="7"/>
      <c r="E359" s="12"/>
      <c r="F359" s="7"/>
      <c r="G359" s="7"/>
      <c r="J359" s="7"/>
      <c r="K359" s="7"/>
      <c r="L359" s="7"/>
      <c r="M359" s="7"/>
      <c r="N359" s="17"/>
    </row>
    <row r="360" ht="17.25" customHeight="1" spans="1:14">
      <c r="A360" s="7"/>
      <c r="B360" s="7" t="s">
        <v>628</v>
      </c>
      <c r="C360" s="7" t="s">
        <v>629</v>
      </c>
      <c r="D360" s="7" t="s">
        <v>630</v>
      </c>
      <c r="E360" s="12">
        <v>1</v>
      </c>
      <c r="F360" s="13">
        <v>0.07305784</v>
      </c>
      <c r="G360" s="7">
        <v>210</v>
      </c>
      <c r="H360" s="7">
        <v>99</v>
      </c>
      <c r="I360" s="7">
        <v>123</v>
      </c>
      <c r="J360" s="7">
        <v>11.65</v>
      </c>
      <c r="K360" s="7">
        <v>7.6</v>
      </c>
      <c r="L360" s="7" t="s">
        <v>631</v>
      </c>
      <c r="M360" s="7" t="s">
        <v>632</v>
      </c>
      <c r="N360" s="17" t="s">
        <v>633</v>
      </c>
    </row>
    <row r="361" ht="17.25" customHeight="1" spans="1:14">
      <c r="A361" s="7"/>
      <c r="B361" s="7" t="s">
        <v>634</v>
      </c>
      <c r="C361" s="7" t="s">
        <v>635</v>
      </c>
      <c r="D361" s="7" t="s">
        <v>636</v>
      </c>
      <c r="E361" s="12">
        <v>2</v>
      </c>
      <c r="F361" s="13">
        <v>0.0076551</v>
      </c>
      <c r="G361" s="7"/>
      <c r="H361" s="7"/>
      <c r="I361" s="7"/>
      <c r="J361" s="7">
        <v>0.5</v>
      </c>
      <c r="K361" s="20"/>
      <c r="L361" s="7" t="s">
        <v>11</v>
      </c>
      <c r="M361" s="7" t="s">
        <v>11</v>
      </c>
      <c r="N361" s="17" t="s">
        <v>637</v>
      </c>
    </row>
    <row r="362" ht="17.25" customHeight="1" spans="1:14">
      <c r="A362" s="7"/>
      <c r="B362" s="7" t="s">
        <v>573</v>
      </c>
      <c r="C362" s="7" t="s">
        <v>574</v>
      </c>
      <c r="D362" s="7" t="s">
        <v>575</v>
      </c>
      <c r="E362" s="12">
        <v>4</v>
      </c>
      <c r="F362" s="13">
        <v>0.0002745</v>
      </c>
      <c r="G362" s="7"/>
      <c r="H362" s="7"/>
      <c r="I362" s="7"/>
      <c r="J362" s="7">
        <v>0.09</v>
      </c>
      <c r="K362" s="7">
        <v>0.07</v>
      </c>
      <c r="L362" s="7" t="s">
        <v>11</v>
      </c>
      <c r="M362" s="7" t="s">
        <v>11</v>
      </c>
      <c r="N362" s="17" t="s">
        <v>576</v>
      </c>
    </row>
    <row r="363" ht="17.25" customHeight="1" spans="1:14">
      <c r="A363" s="7"/>
      <c r="B363" s="7" t="s">
        <v>646</v>
      </c>
      <c r="C363" s="7" t="s">
        <v>647</v>
      </c>
      <c r="D363" s="7" t="s">
        <v>648</v>
      </c>
      <c r="E363" s="12">
        <v>48</v>
      </c>
      <c r="F363" s="13">
        <v>0.0048776</v>
      </c>
      <c r="G363" s="7"/>
      <c r="H363" s="7"/>
      <c r="I363" s="7"/>
      <c r="J363" s="7">
        <v>0.55</v>
      </c>
      <c r="K363" s="20"/>
      <c r="L363" s="7" t="s">
        <v>11</v>
      </c>
      <c r="M363" s="7" t="s">
        <v>11</v>
      </c>
      <c r="N363" s="17" t="s">
        <v>649</v>
      </c>
    </row>
    <row r="364" ht="17.25" customHeight="1" spans="1:14">
      <c r="A364" s="9"/>
      <c r="B364" s="9" t="s">
        <v>627</v>
      </c>
      <c r="C364" s="9"/>
      <c r="D364" s="10" t="s">
        <v>120</v>
      </c>
      <c r="E364" s="14">
        <v>1</v>
      </c>
      <c r="F364" s="9">
        <f>SUMPRODUCT(F360:F363*E360:E363)</f>
        <v>0.32359084</v>
      </c>
      <c r="G364" s="10" t="s">
        <v>640</v>
      </c>
      <c r="H364" s="10" t="s">
        <v>641</v>
      </c>
      <c r="I364" s="10" t="s">
        <v>642</v>
      </c>
      <c r="J364" s="9">
        <f>SUMPRODUCT(J360:J363*E360:E363)</f>
        <v>39.41</v>
      </c>
      <c r="K364" s="9">
        <f>SUMPRODUCT(K360:K363*E360:E363)</f>
        <v>7.88</v>
      </c>
      <c r="L364" s="9"/>
      <c r="M364" s="9"/>
      <c r="N364" s="18"/>
    </row>
    <row r="365" ht="17.25" customHeight="1" spans="1:14">
      <c r="A365" s="9"/>
      <c r="B365" s="9" t="s">
        <v>122</v>
      </c>
      <c r="C365" s="9" t="s">
        <v>627</v>
      </c>
      <c r="D365" s="10" t="s">
        <v>17</v>
      </c>
      <c r="E365" s="14">
        <v>2</v>
      </c>
      <c r="F365" s="9">
        <f>E365*SUMPRODUCT(F360:F363*E360:E363)</f>
        <v>0.64718168</v>
      </c>
      <c r="G365" s="10">
        <v>420</v>
      </c>
      <c r="H365" s="10">
        <v>198</v>
      </c>
      <c r="I365" s="10">
        <v>246</v>
      </c>
      <c r="J365" s="9">
        <f>E365*SUMPRODUCT(J360:J363*E360:E363)</f>
        <v>78.82</v>
      </c>
      <c r="K365" s="9">
        <f>E365*SUMPRODUCT(K360:K363*E360:E363)</f>
        <v>15.76</v>
      </c>
      <c r="L365" s="9"/>
      <c r="M365" s="9"/>
      <c r="N365" s="18"/>
    </row>
    <row r="366" ht="17.25" customHeight="1" spans="1:14">
      <c r="A366" s="9"/>
      <c r="B366" s="9" t="s">
        <v>123</v>
      </c>
      <c r="C366" s="9" t="s">
        <v>651</v>
      </c>
      <c r="D366" s="9"/>
      <c r="E366" s="14"/>
      <c r="F366" s="9"/>
      <c r="G366" s="9">
        <f>G365</f>
        <v>420</v>
      </c>
      <c r="H366" s="9">
        <f>H365</f>
        <v>198</v>
      </c>
      <c r="I366" s="9">
        <f>I365</f>
        <v>246</v>
      </c>
      <c r="J366" s="9">
        <f>J365</f>
        <v>78.82</v>
      </c>
      <c r="K366" s="9">
        <f>K365</f>
        <v>15.76</v>
      </c>
      <c r="L366" s="9"/>
      <c r="M366" s="9"/>
      <c r="N366" s="19"/>
    </row>
    <row r="367" ht="23" customHeight="1" spans="1:14">
      <c r="A367" s="6" t="s">
        <v>653</v>
      </c>
      <c r="B367" s="6" t="s">
        <v>654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16"/>
    </row>
    <row r="368" ht="17.25" customHeight="1" spans="1:14">
      <c r="A368" s="7" t="s">
        <v>655</v>
      </c>
      <c r="B368" s="8" t="s">
        <v>656</v>
      </c>
      <c r="C368" s="8"/>
      <c r="D368" s="7"/>
      <c r="E368" s="12"/>
      <c r="F368" s="7"/>
      <c r="G368" s="7"/>
      <c r="J368" s="7"/>
      <c r="K368" s="7"/>
      <c r="L368" s="7"/>
      <c r="M368" s="7"/>
      <c r="N368" s="17"/>
    </row>
    <row r="369" ht="17.25" customHeight="1" spans="1:14">
      <c r="A369" s="7"/>
      <c r="B369" s="7" t="s">
        <v>657</v>
      </c>
      <c r="C369" s="7" t="s">
        <v>658</v>
      </c>
      <c r="D369" s="7" t="s">
        <v>659</v>
      </c>
      <c r="E369" s="12">
        <v>1</v>
      </c>
      <c r="F369" s="13"/>
      <c r="G369" s="20"/>
      <c r="H369" s="20"/>
      <c r="I369" s="20"/>
      <c r="J369" s="20"/>
      <c r="K369" s="20"/>
      <c r="L369" s="7" t="s">
        <v>660</v>
      </c>
      <c r="M369" s="7" t="s">
        <v>661</v>
      </c>
      <c r="N369" s="17" t="s">
        <v>11</v>
      </c>
    </row>
    <row r="370" ht="17.25" customHeight="1" spans="1:14">
      <c r="A370" s="7"/>
      <c r="B370" s="7" t="s">
        <v>662</v>
      </c>
      <c r="C370" s="7" t="s">
        <v>663</v>
      </c>
      <c r="D370" s="7" t="s">
        <v>664</v>
      </c>
      <c r="E370" s="12">
        <v>2</v>
      </c>
      <c r="F370" s="13">
        <v>0.0044352</v>
      </c>
      <c r="G370" s="7"/>
      <c r="H370" s="7"/>
      <c r="I370" s="7"/>
      <c r="J370" s="7">
        <v>1.05</v>
      </c>
      <c r="K370" s="7">
        <v>0.6</v>
      </c>
      <c r="L370" s="7" t="s">
        <v>11</v>
      </c>
      <c r="M370" s="7" t="s">
        <v>11</v>
      </c>
      <c r="N370" s="17" t="s">
        <v>665</v>
      </c>
    </row>
    <row r="371" ht="17.25" customHeight="1" spans="1:14">
      <c r="A371" s="9"/>
      <c r="B371" s="9" t="s">
        <v>656</v>
      </c>
      <c r="C371" s="9"/>
      <c r="D371" s="10" t="s">
        <v>120</v>
      </c>
      <c r="E371" s="14">
        <v>1</v>
      </c>
      <c r="F371" s="9">
        <f>SUMPRODUCT(F369:F370*E369:E370)</f>
        <v>0.0088704</v>
      </c>
      <c r="G371" s="10" t="s">
        <v>121</v>
      </c>
      <c r="H371" s="10" t="s">
        <v>121</v>
      </c>
      <c r="I371" s="10" t="s">
        <v>121</v>
      </c>
      <c r="J371" s="9">
        <f>SUMPRODUCT(J369:J370*E369:E370)</f>
        <v>2.1</v>
      </c>
      <c r="K371" s="9">
        <f>SUMPRODUCT(K369:K370*E369:E370)</f>
        <v>1.2</v>
      </c>
      <c r="L371" s="9"/>
      <c r="M371" s="9"/>
      <c r="N371" s="18"/>
    </row>
    <row r="372" ht="17.25" customHeight="1" spans="1:14">
      <c r="A372" s="9"/>
      <c r="B372" s="9" t="s">
        <v>122</v>
      </c>
      <c r="C372" s="9" t="s">
        <v>656</v>
      </c>
      <c r="D372" s="10" t="s">
        <v>17</v>
      </c>
      <c r="E372" s="14">
        <v>2</v>
      </c>
      <c r="F372" s="9">
        <f>E372*SUMPRODUCT(F369:F370*E369:E370)</f>
        <v>0.0177408</v>
      </c>
      <c r="G372" s="10">
        <v>0</v>
      </c>
      <c r="H372" s="10">
        <v>0</v>
      </c>
      <c r="I372" s="10">
        <v>0</v>
      </c>
      <c r="J372" s="9">
        <f>E372*SUMPRODUCT(J369:J370*E369:E370)</f>
        <v>4.2</v>
      </c>
      <c r="K372" s="9">
        <f>E372*SUMPRODUCT(K369:K370*E369:E370)</f>
        <v>2.4</v>
      </c>
      <c r="L372" s="9"/>
      <c r="M372" s="9"/>
      <c r="N372" s="18"/>
    </row>
    <row r="373" ht="17.25" customHeight="1" spans="1:14">
      <c r="A373" s="9"/>
      <c r="B373" s="9" t="s">
        <v>123</v>
      </c>
      <c r="C373" s="9" t="s">
        <v>654</v>
      </c>
      <c r="D373" s="9"/>
      <c r="E373" s="14"/>
      <c r="F373" s="9"/>
      <c r="G373" s="9">
        <f>G372</f>
        <v>0</v>
      </c>
      <c r="H373" s="9">
        <f>H372</f>
        <v>0</v>
      </c>
      <c r="I373" s="9">
        <f>I372</f>
        <v>0</v>
      </c>
      <c r="J373" s="9">
        <f>J372</f>
        <v>4.2</v>
      </c>
      <c r="K373" s="9">
        <f>K372</f>
        <v>2.4</v>
      </c>
      <c r="L373" s="9"/>
      <c r="M373" s="9"/>
      <c r="N373" s="19"/>
    </row>
    <row r="374" ht="23" customHeight="1" spans="1:14">
      <c r="A374" s="6" t="s">
        <v>666</v>
      </c>
      <c r="B374" s="6" t="s">
        <v>667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16"/>
    </row>
    <row r="375" ht="17.25" customHeight="1" spans="1:14">
      <c r="A375" s="7" t="s">
        <v>668</v>
      </c>
      <c r="B375" s="8" t="s">
        <v>656</v>
      </c>
      <c r="C375" s="8"/>
      <c r="D375" s="7"/>
      <c r="E375" s="12"/>
      <c r="F375" s="7"/>
      <c r="G375" s="7"/>
      <c r="J375" s="7"/>
      <c r="K375" s="7"/>
      <c r="L375" s="7"/>
      <c r="M375" s="7"/>
      <c r="N375" s="17"/>
    </row>
    <row r="376" ht="17.25" customHeight="1" spans="1:14">
      <c r="A376" s="7"/>
      <c r="B376" s="7" t="s">
        <v>657</v>
      </c>
      <c r="C376" s="7" t="s">
        <v>658</v>
      </c>
      <c r="D376" s="7" t="s">
        <v>659</v>
      </c>
      <c r="E376" s="12">
        <v>1</v>
      </c>
      <c r="F376" s="13"/>
      <c r="G376" s="20"/>
      <c r="H376" s="20"/>
      <c r="I376" s="20"/>
      <c r="J376" s="20"/>
      <c r="K376" s="20"/>
      <c r="L376" s="7" t="s">
        <v>660</v>
      </c>
      <c r="M376" s="7" t="s">
        <v>661</v>
      </c>
      <c r="N376" s="17" t="s">
        <v>11</v>
      </c>
    </row>
    <row r="377" ht="17.25" customHeight="1" spans="1:14">
      <c r="A377" s="7"/>
      <c r="B377" s="7" t="s">
        <v>662</v>
      </c>
      <c r="C377" s="7" t="s">
        <v>663</v>
      </c>
      <c r="D377" s="7" t="s">
        <v>664</v>
      </c>
      <c r="E377" s="12">
        <v>2</v>
      </c>
      <c r="F377" s="13">
        <v>0.0044352</v>
      </c>
      <c r="G377" s="7"/>
      <c r="H377" s="7"/>
      <c r="I377" s="7"/>
      <c r="J377" s="7">
        <v>1.05</v>
      </c>
      <c r="K377" s="7">
        <v>0.6</v>
      </c>
      <c r="L377" s="7" t="s">
        <v>11</v>
      </c>
      <c r="M377" s="7" t="s">
        <v>11</v>
      </c>
      <c r="N377" s="17" t="s">
        <v>665</v>
      </c>
    </row>
    <row r="378" ht="17.25" customHeight="1" spans="1:14">
      <c r="A378" s="9"/>
      <c r="B378" s="9" t="s">
        <v>656</v>
      </c>
      <c r="C378" s="9"/>
      <c r="D378" s="10" t="s">
        <v>120</v>
      </c>
      <c r="E378" s="14">
        <v>1</v>
      </c>
      <c r="F378" s="9">
        <f>SUMPRODUCT(F376:F377*E376:E377)</f>
        <v>0.0088704</v>
      </c>
      <c r="G378" s="10" t="s">
        <v>121</v>
      </c>
      <c r="H378" s="10" t="s">
        <v>121</v>
      </c>
      <c r="I378" s="10" t="s">
        <v>121</v>
      </c>
      <c r="J378" s="9">
        <f>SUMPRODUCT(J376:J377*E376:E377)</f>
        <v>2.1</v>
      </c>
      <c r="K378" s="9">
        <f>SUMPRODUCT(K376:K377*E376:E377)</f>
        <v>1.2</v>
      </c>
      <c r="L378" s="9"/>
      <c r="M378" s="9"/>
      <c r="N378" s="18"/>
    </row>
    <row r="379" ht="17.25" customHeight="1" spans="1:14">
      <c r="A379" s="9"/>
      <c r="B379" s="9" t="s">
        <v>122</v>
      </c>
      <c r="C379" s="9" t="s">
        <v>656</v>
      </c>
      <c r="D379" s="10" t="s">
        <v>17</v>
      </c>
      <c r="E379" s="14">
        <v>6</v>
      </c>
      <c r="F379" s="9">
        <f>E379*SUMPRODUCT(F376:F377*E376:E377)</f>
        <v>0.0532224</v>
      </c>
      <c r="G379" s="10">
        <v>0</v>
      </c>
      <c r="H379" s="10">
        <v>0</v>
      </c>
      <c r="I379" s="10">
        <v>0</v>
      </c>
      <c r="J379" s="9">
        <f>E379*SUMPRODUCT(J376:J377*E376:E377)</f>
        <v>12.6</v>
      </c>
      <c r="K379" s="9">
        <f>E379*SUMPRODUCT(K376:K377*E376:E377)</f>
        <v>7.2</v>
      </c>
      <c r="L379" s="9"/>
      <c r="M379" s="9"/>
      <c r="N379" s="18"/>
    </row>
    <row r="380" ht="17.25" customHeight="1" spans="1:14">
      <c r="A380" s="9"/>
      <c r="B380" s="9" t="s">
        <v>123</v>
      </c>
      <c r="C380" s="9" t="s">
        <v>667</v>
      </c>
      <c r="D380" s="9"/>
      <c r="E380" s="14"/>
      <c r="F380" s="9"/>
      <c r="G380" s="9">
        <f>G379</f>
        <v>0</v>
      </c>
      <c r="H380" s="9">
        <f>H379</f>
        <v>0</v>
      </c>
      <c r="I380" s="9">
        <f>I379</f>
        <v>0</v>
      </c>
      <c r="J380" s="9">
        <f>J379</f>
        <v>12.6</v>
      </c>
      <c r="K380" s="9">
        <f>K379</f>
        <v>7.2</v>
      </c>
      <c r="L380" s="9"/>
      <c r="M380" s="9"/>
      <c r="N380" s="19"/>
    </row>
    <row r="381" ht="23" customHeight="1" spans="1:14">
      <c r="A381" s="6" t="s">
        <v>669</v>
      </c>
      <c r="B381" s="6" t="s">
        <v>670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16"/>
    </row>
    <row r="382" ht="17.25" customHeight="1" spans="1:14">
      <c r="A382" s="7" t="s">
        <v>671</v>
      </c>
      <c r="B382" s="8" t="s">
        <v>30</v>
      </c>
      <c r="C382" s="8"/>
      <c r="D382" s="7"/>
      <c r="E382" s="12"/>
      <c r="F382" s="7"/>
      <c r="G382" s="7"/>
      <c r="J382" s="7"/>
      <c r="K382" s="7"/>
      <c r="L382" s="7"/>
      <c r="M382" s="7"/>
      <c r="N382" s="17"/>
    </row>
    <row r="383" ht="17.25" customHeight="1" spans="1:14">
      <c r="A383" s="7"/>
      <c r="B383" s="7" t="s">
        <v>31</v>
      </c>
      <c r="C383" s="7" t="s">
        <v>32</v>
      </c>
      <c r="D383" s="7" t="s">
        <v>33</v>
      </c>
      <c r="E383" s="12">
        <v>1</v>
      </c>
      <c r="F383" s="13">
        <v>0.167975808</v>
      </c>
      <c r="G383" s="7"/>
      <c r="H383" s="7"/>
      <c r="I383" s="7"/>
      <c r="J383" s="7">
        <v>21.95</v>
      </c>
      <c r="K383" s="7">
        <v>17.57</v>
      </c>
      <c r="L383" s="7" t="s">
        <v>34</v>
      </c>
      <c r="M383" s="7" t="s">
        <v>35</v>
      </c>
      <c r="N383" s="17" t="s">
        <v>36</v>
      </c>
    </row>
    <row r="384" ht="17.25" customHeight="1" spans="1:14">
      <c r="A384" s="7"/>
      <c r="B384" s="7" t="s">
        <v>37</v>
      </c>
      <c r="C384" s="7" t="s">
        <v>38</v>
      </c>
      <c r="D384" s="7" t="s">
        <v>39</v>
      </c>
      <c r="E384" s="12">
        <v>2</v>
      </c>
      <c r="F384" s="13"/>
      <c r="G384" s="7"/>
      <c r="H384" s="7"/>
      <c r="I384" s="7"/>
      <c r="J384" s="7">
        <v>0.15</v>
      </c>
      <c r="K384" s="7">
        <v>0.15</v>
      </c>
      <c r="L384" s="7" t="s">
        <v>11</v>
      </c>
      <c r="M384" s="7" t="s">
        <v>40</v>
      </c>
      <c r="N384" s="17" t="s">
        <v>41</v>
      </c>
    </row>
    <row r="385" ht="17.25" customHeight="1" spans="1:14">
      <c r="A385" s="7"/>
      <c r="B385" s="7" t="s">
        <v>42</v>
      </c>
      <c r="C385" s="7" t="s">
        <v>43</v>
      </c>
      <c r="D385" s="7" t="s">
        <v>44</v>
      </c>
      <c r="E385" s="12">
        <v>16</v>
      </c>
      <c r="F385" s="13"/>
      <c r="G385" s="7"/>
      <c r="H385" s="7"/>
      <c r="I385" s="7"/>
      <c r="J385" s="7">
        <v>0.05</v>
      </c>
      <c r="K385" s="7">
        <v>0.05</v>
      </c>
      <c r="L385" s="7" t="s">
        <v>11</v>
      </c>
      <c r="M385" s="7" t="s">
        <v>40</v>
      </c>
      <c r="N385" s="17" t="s">
        <v>45</v>
      </c>
    </row>
    <row r="386" ht="17.25" customHeight="1" spans="1:14">
      <c r="A386" s="7"/>
      <c r="B386" s="7" t="s">
        <v>49</v>
      </c>
      <c r="C386" s="7" t="s">
        <v>50</v>
      </c>
      <c r="D386" s="7" t="s">
        <v>51</v>
      </c>
      <c r="E386" s="12">
        <v>1</v>
      </c>
      <c r="F386" s="13"/>
      <c r="G386" s="7"/>
      <c r="H386" s="7"/>
      <c r="I386" s="7"/>
      <c r="J386" s="7">
        <v>0.1</v>
      </c>
      <c r="K386" s="7">
        <v>0.1</v>
      </c>
      <c r="L386" s="7" t="s">
        <v>11</v>
      </c>
      <c r="M386" s="7" t="s">
        <v>11</v>
      </c>
      <c r="N386" s="17" t="s">
        <v>52</v>
      </c>
    </row>
    <row r="387" ht="17.25" customHeight="1" spans="1:14">
      <c r="A387" s="7"/>
      <c r="B387" s="7" t="s">
        <v>53</v>
      </c>
      <c r="C387" s="7" t="s">
        <v>54</v>
      </c>
      <c r="D387" s="7" t="s">
        <v>55</v>
      </c>
      <c r="E387" s="12">
        <v>2</v>
      </c>
      <c r="F387" s="13"/>
      <c r="G387" s="7"/>
      <c r="H387" s="7"/>
      <c r="I387" s="7"/>
      <c r="J387" s="7">
        <v>0.09</v>
      </c>
      <c r="K387" s="7">
        <v>0.09</v>
      </c>
      <c r="L387" s="7" t="s">
        <v>11</v>
      </c>
      <c r="M387" s="7" t="s">
        <v>11</v>
      </c>
      <c r="N387" s="17" t="s">
        <v>11</v>
      </c>
    </row>
    <row r="388" ht="17.25" customHeight="1" spans="1:14">
      <c r="A388" s="7"/>
      <c r="B388" s="7" t="s">
        <v>56</v>
      </c>
      <c r="C388" s="7" t="s">
        <v>57</v>
      </c>
      <c r="D388" s="7" t="s">
        <v>58</v>
      </c>
      <c r="E388" s="12">
        <v>1</v>
      </c>
      <c r="F388" s="13"/>
      <c r="G388" s="7"/>
      <c r="H388" s="7"/>
      <c r="I388" s="7"/>
      <c r="J388" s="7">
        <v>0.35</v>
      </c>
      <c r="K388" s="7">
        <v>0.35</v>
      </c>
      <c r="L388" s="7" t="s">
        <v>11</v>
      </c>
      <c r="M388" s="7" t="s">
        <v>11</v>
      </c>
      <c r="N388" s="17" t="s">
        <v>52</v>
      </c>
    </row>
    <row r="389" ht="17.25" customHeight="1" spans="1:14">
      <c r="A389" s="7"/>
      <c r="B389" s="7" t="s">
        <v>59</v>
      </c>
      <c r="C389" s="7" t="s">
        <v>60</v>
      </c>
      <c r="D389" s="7" t="s">
        <v>61</v>
      </c>
      <c r="E389" s="12">
        <v>1</v>
      </c>
      <c r="F389" s="13"/>
      <c r="G389" s="7"/>
      <c r="H389" s="7"/>
      <c r="I389" s="7"/>
      <c r="J389" s="7">
        <v>0.11</v>
      </c>
      <c r="K389" s="7">
        <v>0.11</v>
      </c>
      <c r="L389" s="7" t="s">
        <v>11</v>
      </c>
      <c r="M389" s="7" t="s">
        <v>11</v>
      </c>
      <c r="N389" s="17" t="s">
        <v>11</v>
      </c>
    </row>
    <row r="390" ht="17.25" customHeight="1" spans="1:14">
      <c r="A390" s="7"/>
      <c r="B390" s="7" t="s">
        <v>62</v>
      </c>
      <c r="C390" s="7" t="s">
        <v>63</v>
      </c>
      <c r="D390" s="7" t="s">
        <v>64</v>
      </c>
      <c r="E390" s="12">
        <v>2</v>
      </c>
      <c r="F390" s="13"/>
      <c r="G390" s="7"/>
      <c r="H390" s="7"/>
      <c r="I390" s="7"/>
      <c r="J390" s="7">
        <v>0.11</v>
      </c>
      <c r="K390" s="7">
        <v>0.11</v>
      </c>
      <c r="L390" s="7" t="s">
        <v>11</v>
      </c>
      <c r="M390" s="7" t="s">
        <v>11</v>
      </c>
      <c r="N390" s="17" t="s">
        <v>11</v>
      </c>
    </row>
    <row r="391" ht="17.25" customHeight="1" spans="1:14">
      <c r="A391" s="7"/>
      <c r="B391" s="7" t="s">
        <v>495</v>
      </c>
      <c r="C391" s="7" t="s">
        <v>496</v>
      </c>
      <c r="D391" s="7" t="s">
        <v>497</v>
      </c>
      <c r="E391" s="12">
        <v>1</v>
      </c>
      <c r="F391" s="13"/>
      <c r="G391" s="7"/>
      <c r="H391" s="7"/>
      <c r="I391" s="7"/>
      <c r="J391" s="7">
        <v>0.098</v>
      </c>
      <c r="K391" s="7">
        <v>0.098</v>
      </c>
      <c r="L391" s="7" t="s">
        <v>11</v>
      </c>
      <c r="M391" s="7" t="s">
        <v>11</v>
      </c>
      <c r="N391" s="17" t="s">
        <v>146</v>
      </c>
    </row>
    <row r="392" ht="17.25" customHeight="1" spans="1:14">
      <c r="A392" s="7"/>
      <c r="B392" s="7" t="s">
        <v>69</v>
      </c>
      <c r="C392" s="7" t="s">
        <v>70</v>
      </c>
      <c r="D392" s="7" t="s">
        <v>71</v>
      </c>
      <c r="E392" s="12">
        <v>4</v>
      </c>
      <c r="F392" s="13"/>
      <c r="G392" s="7"/>
      <c r="H392" s="7"/>
      <c r="I392" s="7"/>
      <c r="J392" s="7">
        <v>0.03</v>
      </c>
      <c r="K392" s="7">
        <v>0.03</v>
      </c>
      <c r="L392" s="7" t="s">
        <v>11</v>
      </c>
      <c r="M392" s="7" t="s">
        <v>11</v>
      </c>
      <c r="N392" s="17" t="s">
        <v>72</v>
      </c>
    </row>
    <row r="393" ht="17.25" customHeight="1" spans="1:14">
      <c r="A393" s="7"/>
      <c r="B393" s="7" t="s">
        <v>73</v>
      </c>
      <c r="C393" s="7" t="s">
        <v>74</v>
      </c>
      <c r="D393" s="7" t="s">
        <v>75</v>
      </c>
      <c r="E393" s="12">
        <v>2</v>
      </c>
      <c r="F393" s="13"/>
      <c r="G393" s="7"/>
      <c r="H393" s="7"/>
      <c r="I393" s="7"/>
      <c r="J393" s="7">
        <v>1.33</v>
      </c>
      <c r="K393" s="7">
        <v>1.33</v>
      </c>
      <c r="L393" s="7" t="s">
        <v>11</v>
      </c>
      <c r="M393" s="7" t="s">
        <v>11</v>
      </c>
      <c r="N393" s="17" t="s">
        <v>11</v>
      </c>
    </row>
    <row r="394" ht="17.25" customHeight="1" spans="1:14">
      <c r="A394" s="7"/>
      <c r="B394" s="7" t="s">
        <v>76</v>
      </c>
      <c r="C394" s="7" t="s">
        <v>77</v>
      </c>
      <c r="D394" s="7" t="s">
        <v>78</v>
      </c>
      <c r="E394" s="12">
        <v>2</v>
      </c>
      <c r="F394" s="13"/>
      <c r="G394" s="7"/>
      <c r="H394" s="7"/>
      <c r="I394" s="7"/>
      <c r="J394" s="7">
        <v>0.18</v>
      </c>
      <c r="K394" s="7">
        <v>0.18</v>
      </c>
      <c r="L394" s="7" t="s">
        <v>11</v>
      </c>
      <c r="M394" s="7" t="s">
        <v>11</v>
      </c>
      <c r="N394" s="17" t="s">
        <v>11</v>
      </c>
    </row>
    <row r="395" ht="17.25" customHeight="1" spans="1:14">
      <c r="A395" s="7"/>
      <c r="B395" s="7" t="s">
        <v>79</v>
      </c>
      <c r="C395" s="7" t="s">
        <v>80</v>
      </c>
      <c r="D395" s="7" t="s">
        <v>81</v>
      </c>
      <c r="E395" s="12">
        <v>2</v>
      </c>
      <c r="F395" s="13"/>
      <c r="G395" s="7"/>
      <c r="H395" s="7"/>
      <c r="I395" s="7"/>
      <c r="J395" s="7">
        <v>0.01</v>
      </c>
      <c r="K395" s="7">
        <v>0.01</v>
      </c>
      <c r="L395" s="7" t="s">
        <v>11</v>
      </c>
      <c r="M395" s="7" t="s">
        <v>11</v>
      </c>
      <c r="N395" s="17" t="s">
        <v>11</v>
      </c>
    </row>
    <row r="396" ht="17.25" customHeight="1" spans="1:14">
      <c r="A396" s="7"/>
      <c r="B396" s="7" t="s">
        <v>82</v>
      </c>
      <c r="C396" s="7" t="s">
        <v>83</v>
      </c>
      <c r="D396" s="7" t="s">
        <v>84</v>
      </c>
      <c r="E396" s="12">
        <v>4</v>
      </c>
      <c r="F396" s="13"/>
      <c r="G396" s="7"/>
      <c r="H396" s="7"/>
      <c r="I396" s="7"/>
      <c r="J396" s="7">
        <v>0.3</v>
      </c>
      <c r="K396" s="7">
        <v>0.3</v>
      </c>
      <c r="L396" s="7" t="s">
        <v>11</v>
      </c>
      <c r="M396" s="7" t="s">
        <v>11</v>
      </c>
      <c r="N396" s="17" t="s">
        <v>85</v>
      </c>
    </row>
    <row r="397" ht="17.25" customHeight="1" spans="1:14">
      <c r="A397" s="7"/>
      <c r="B397" s="7" t="s">
        <v>86</v>
      </c>
      <c r="C397" s="7" t="s">
        <v>87</v>
      </c>
      <c r="D397" s="7" t="s">
        <v>88</v>
      </c>
      <c r="E397" s="12">
        <v>2</v>
      </c>
      <c r="F397" s="13"/>
      <c r="G397" s="7"/>
      <c r="H397" s="7"/>
      <c r="I397" s="7"/>
      <c r="J397" s="7">
        <v>0.65</v>
      </c>
      <c r="K397" s="7">
        <v>0.65</v>
      </c>
      <c r="L397" s="7" t="s">
        <v>11</v>
      </c>
      <c r="M397" s="7" t="s">
        <v>11</v>
      </c>
      <c r="N397" s="17" t="s">
        <v>11</v>
      </c>
    </row>
    <row r="398" ht="17.25" customHeight="1" spans="1:14">
      <c r="A398" s="7"/>
      <c r="B398" s="7" t="s">
        <v>89</v>
      </c>
      <c r="C398" s="7" t="s">
        <v>90</v>
      </c>
      <c r="D398" s="7" t="s">
        <v>91</v>
      </c>
      <c r="E398" s="12">
        <v>1</v>
      </c>
      <c r="F398" s="13"/>
      <c r="G398" s="7"/>
      <c r="H398" s="7"/>
      <c r="I398" s="7"/>
      <c r="J398" s="7">
        <v>0</v>
      </c>
      <c r="K398" s="7">
        <v>0</v>
      </c>
      <c r="L398" s="7" t="s">
        <v>11</v>
      </c>
      <c r="M398" s="7" t="s">
        <v>11</v>
      </c>
      <c r="N398" s="17" t="s">
        <v>11</v>
      </c>
    </row>
    <row r="399" ht="17.25" customHeight="1" spans="1:14">
      <c r="A399" s="7"/>
      <c r="B399" s="7" t="s">
        <v>92</v>
      </c>
      <c r="C399" s="7" t="s">
        <v>93</v>
      </c>
      <c r="D399" s="7" t="s">
        <v>94</v>
      </c>
      <c r="E399" s="12">
        <v>1</v>
      </c>
      <c r="F399" s="13"/>
      <c r="G399" s="7"/>
      <c r="H399" s="7"/>
      <c r="I399" s="7"/>
      <c r="J399" s="7">
        <v>0.08</v>
      </c>
      <c r="K399" s="7">
        <v>0.08</v>
      </c>
      <c r="L399" s="7" t="s">
        <v>11</v>
      </c>
      <c r="M399" s="7" t="s">
        <v>11</v>
      </c>
      <c r="N399" s="17" t="s">
        <v>68</v>
      </c>
    </row>
    <row r="400" ht="17.25" customHeight="1" spans="1:14">
      <c r="A400" s="7"/>
      <c r="B400" s="7" t="s">
        <v>95</v>
      </c>
      <c r="C400" s="7" t="s">
        <v>96</v>
      </c>
      <c r="D400" s="7" t="s">
        <v>97</v>
      </c>
      <c r="E400" s="12">
        <v>1</v>
      </c>
      <c r="F400" s="13"/>
      <c r="G400" s="7"/>
      <c r="H400" s="7"/>
      <c r="I400" s="7"/>
      <c r="J400" s="7">
        <v>0.35</v>
      </c>
      <c r="K400" s="7">
        <v>0.35</v>
      </c>
      <c r="L400" s="7" t="s">
        <v>11</v>
      </c>
      <c r="M400" s="7" t="s">
        <v>11</v>
      </c>
      <c r="N400" s="17" t="s">
        <v>68</v>
      </c>
    </row>
    <row r="401" ht="17.25" customHeight="1" spans="1:14">
      <c r="A401" s="7"/>
      <c r="B401" s="7" t="s">
        <v>98</v>
      </c>
      <c r="C401" s="7" t="s">
        <v>99</v>
      </c>
      <c r="D401" s="7" t="s">
        <v>100</v>
      </c>
      <c r="E401" s="12">
        <v>1</v>
      </c>
      <c r="F401" s="13"/>
      <c r="G401" s="7"/>
      <c r="H401" s="7"/>
      <c r="I401" s="7"/>
      <c r="J401" s="7">
        <v>6.1</v>
      </c>
      <c r="K401" s="7">
        <v>6.1</v>
      </c>
      <c r="L401" s="7" t="s">
        <v>11</v>
      </c>
      <c r="M401" s="7" t="s">
        <v>11</v>
      </c>
      <c r="N401" s="17" t="s">
        <v>101</v>
      </c>
    </row>
    <row r="402" ht="17.25" customHeight="1" spans="1:14">
      <c r="A402" s="7"/>
      <c r="B402" s="7" t="s">
        <v>102</v>
      </c>
      <c r="C402" s="7" t="s">
        <v>103</v>
      </c>
      <c r="D402" s="7" t="s">
        <v>104</v>
      </c>
      <c r="E402" s="12">
        <v>1</v>
      </c>
      <c r="F402" s="13"/>
      <c r="G402" s="7"/>
      <c r="H402" s="7"/>
      <c r="I402" s="7"/>
      <c r="J402" s="7">
        <v>0.01</v>
      </c>
      <c r="K402" s="7">
        <v>0.01</v>
      </c>
      <c r="L402" s="7" t="s">
        <v>11</v>
      </c>
      <c r="M402" s="7" t="s">
        <v>11</v>
      </c>
      <c r="N402" s="17" t="s">
        <v>11</v>
      </c>
    </row>
    <row r="403" ht="17.25" customHeight="1" spans="1:14">
      <c r="A403" s="7"/>
      <c r="B403" s="7" t="s">
        <v>105</v>
      </c>
      <c r="C403" s="7" t="s">
        <v>106</v>
      </c>
      <c r="D403" s="7" t="s">
        <v>107</v>
      </c>
      <c r="E403" s="12">
        <v>1</v>
      </c>
      <c r="F403" s="13"/>
      <c r="G403" s="7"/>
      <c r="H403" s="7"/>
      <c r="I403" s="7"/>
      <c r="J403" s="7">
        <v>0.03</v>
      </c>
      <c r="K403" s="7">
        <v>0.03</v>
      </c>
      <c r="L403" s="7" t="s">
        <v>11</v>
      </c>
      <c r="M403" s="7" t="s">
        <v>11</v>
      </c>
      <c r="N403" s="17" t="s">
        <v>11</v>
      </c>
    </row>
    <row r="404" ht="17.25" customHeight="1" spans="1:14">
      <c r="A404" s="7"/>
      <c r="B404" s="7" t="s">
        <v>108</v>
      </c>
      <c r="C404" s="7" t="s">
        <v>109</v>
      </c>
      <c r="D404" s="7" t="s">
        <v>110</v>
      </c>
      <c r="E404" s="12">
        <v>1</v>
      </c>
      <c r="F404" s="13"/>
      <c r="G404" s="7"/>
      <c r="H404" s="7"/>
      <c r="I404" s="7"/>
      <c r="J404" s="7">
        <v>0.026</v>
      </c>
      <c r="K404" s="7">
        <v>0.026</v>
      </c>
      <c r="L404" s="7" t="s">
        <v>11</v>
      </c>
      <c r="M404" s="7" t="s">
        <v>11</v>
      </c>
      <c r="N404" s="17" t="s">
        <v>11</v>
      </c>
    </row>
    <row r="405" ht="17.25" customHeight="1" spans="1:14">
      <c r="A405" s="7"/>
      <c r="B405" s="7" t="s">
        <v>111</v>
      </c>
      <c r="C405" s="7" t="s">
        <v>112</v>
      </c>
      <c r="D405" s="7" t="s">
        <v>113</v>
      </c>
      <c r="E405" s="12">
        <v>1</v>
      </c>
      <c r="F405" s="13"/>
      <c r="G405" s="7"/>
      <c r="H405" s="7"/>
      <c r="I405" s="7"/>
      <c r="J405" s="7">
        <v>0.06</v>
      </c>
      <c r="K405" s="7">
        <v>0.06</v>
      </c>
      <c r="L405" s="7" t="s">
        <v>11</v>
      </c>
      <c r="M405" s="7" t="s">
        <v>11</v>
      </c>
      <c r="N405" s="17" t="s">
        <v>11</v>
      </c>
    </row>
    <row r="406" ht="17.25" customHeight="1" spans="1:14">
      <c r="A406" s="7"/>
      <c r="B406" s="7" t="s">
        <v>114</v>
      </c>
      <c r="C406" s="7" t="s">
        <v>115</v>
      </c>
      <c r="D406" s="7" t="s">
        <v>116</v>
      </c>
      <c r="E406" s="12">
        <v>1</v>
      </c>
      <c r="F406" s="13"/>
      <c r="G406" s="7"/>
      <c r="H406" s="7"/>
      <c r="I406" s="7"/>
      <c r="J406" s="7">
        <v>0.02</v>
      </c>
      <c r="K406" s="7">
        <v>0.02</v>
      </c>
      <c r="L406" s="7" t="s">
        <v>11</v>
      </c>
      <c r="M406" s="7" t="s">
        <v>11</v>
      </c>
      <c r="N406" s="17" t="s">
        <v>11</v>
      </c>
    </row>
    <row r="407" ht="17.25" customHeight="1" spans="1:14">
      <c r="A407" s="7"/>
      <c r="B407" s="7" t="s">
        <v>117</v>
      </c>
      <c r="C407" s="7" t="s">
        <v>118</v>
      </c>
      <c r="D407" s="7" t="s">
        <v>119</v>
      </c>
      <c r="E407" s="12">
        <v>1</v>
      </c>
      <c r="F407" s="7"/>
      <c r="G407" s="7"/>
      <c r="H407" s="7"/>
      <c r="I407" s="7"/>
      <c r="J407" s="7"/>
      <c r="K407" s="7"/>
      <c r="L407" s="7"/>
      <c r="M407" s="7"/>
      <c r="N407" s="17"/>
    </row>
    <row r="408" ht="17.25" customHeight="1" spans="1:14">
      <c r="A408" s="9"/>
      <c r="B408" s="9" t="s">
        <v>30</v>
      </c>
      <c r="C408" s="9"/>
      <c r="D408" s="10" t="s">
        <v>120</v>
      </c>
      <c r="E408" s="14">
        <v>1</v>
      </c>
      <c r="F408" s="9">
        <f>SUMPRODUCT(F383:F407*E383:E407)</f>
        <v>0.167975808</v>
      </c>
      <c r="G408" s="10" t="s">
        <v>121</v>
      </c>
      <c r="H408" s="10" t="s">
        <v>121</v>
      </c>
      <c r="I408" s="10" t="s">
        <v>121</v>
      </c>
      <c r="J408" s="9">
        <f>SUMPRODUCT(J383:J407*E383:E407)</f>
        <v>36.444</v>
      </c>
      <c r="K408" s="9">
        <f>SUMPRODUCT(K383:K407*E383:E407)</f>
        <v>32.064</v>
      </c>
      <c r="L408" s="9"/>
      <c r="M408" s="9"/>
      <c r="N408" s="18"/>
    </row>
    <row r="409" ht="17.25" customHeight="1" spans="1:14">
      <c r="A409" s="9"/>
      <c r="B409" s="9" t="s">
        <v>122</v>
      </c>
      <c r="C409" s="9" t="s">
        <v>30</v>
      </c>
      <c r="D409" s="10" t="s">
        <v>17</v>
      </c>
      <c r="E409" s="14">
        <v>4</v>
      </c>
      <c r="F409" s="9">
        <f>E409*SUMPRODUCT(F383:F407*E383:E407)</f>
        <v>0.671903232</v>
      </c>
      <c r="G409" s="10">
        <v>0</v>
      </c>
      <c r="H409" s="10">
        <v>0</v>
      </c>
      <c r="I409" s="10">
        <v>0</v>
      </c>
      <c r="J409" s="9">
        <f>E409*SUMPRODUCT(J383:J407*E383:E407)</f>
        <v>145.776</v>
      </c>
      <c r="K409" s="9">
        <f>E409*SUMPRODUCT(K383:K407*E383:E407)</f>
        <v>128.256</v>
      </c>
      <c r="L409" s="9"/>
      <c r="M409" s="9"/>
      <c r="N409" s="18"/>
    </row>
    <row r="410" ht="17.25" customHeight="1" spans="1:14">
      <c r="A410" s="9"/>
      <c r="B410" s="9" t="s">
        <v>123</v>
      </c>
      <c r="C410" s="9" t="s">
        <v>670</v>
      </c>
      <c r="D410" s="9"/>
      <c r="E410" s="14"/>
      <c r="F410" s="9"/>
      <c r="G410" s="9">
        <f>G409</f>
        <v>0</v>
      </c>
      <c r="H410" s="9">
        <f>H409</f>
        <v>0</v>
      </c>
      <c r="I410" s="9">
        <f>I409</f>
        <v>0</v>
      </c>
      <c r="J410" s="9">
        <f>J409</f>
        <v>145.776</v>
      </c>
      <c r="K410" s="9">
        <f>K409</f>
        <v>128.256</v>
      </c>
      <c r="L410" s="9"/>
      <c r="M410" s="9"/>
      <c r="N410" s="19"/>
    </row>
    <row r="411" ht="23" customHeight="1" spans="1:14">
      <c r="A411" s="6" t="s">
        <v>672</v>
      </c>
      <c r="B411" s="6" t="s">
        <v>673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16"/>
    </row>
    <row r="412" ht="17.25" customHeight="1" spans="1:14">
      <c r="A412" s="7" t="s">
        <v>674</v>
      </c>
      <c r="B412" s="8" t="s">
        <v>675</v>
      </c>
      <c r="C412" s="8"/>
      <c r="D412" s="7"/>
      <c r="E412" s="12"/>
      <c r="F412" s="7"/>
      <c r="G412" s="7"/>
      <c r="J412" s="7"/>
      <c r="K412" s="7"/>
      <c r="L412" s="7"/>
      <c r="M412" s="7"/>
      <c r="N412" s="17"/>
    </row>
    <row r="413" ht="17.25" customHeight="1" spans="1:14">
      <c r="A413" s="7"/>
      <c r="B413" s="7" t="s">
        <v>676</v>
      </c>
      <c r="C413" s="7" t="s">
        <v>677</v>
      </c>
      <c r="D413" s="7" t="s">
        <v>678</v>
      </c>
      <c r="E413" s="12">
        <v>1</v>
      </c>
      <c r="F413" s="13">
        <v>0.05115975</v>
      </c>
      <c r="G413" s="20"/>
      <c r="H413" s="20"/>
      <c r="I413" s="20"/>
      <c r="J413" s="7">
        <v>7.8</v>
      </c>
      <c r="K413" s="7">
        <v>5.65</v>
      </c>
      <c r="L413" s="7" t="s">
        <v>11</v>
      </c>
      <c r="M413" s="7" t="s">
        <v>11</v>
      </c>
      <c r="N413" s="17" t="s">
        <v>679</v>
      </c>
    </row>
    <row r="414" ht="17.25" customHeight="1" spans="1:14">
      <c r="A414" s="7"/>
      <c r="B414" s="7" t="s">
        <v>680</v>
      </c>
      <c r="C414" s="7" t="s">
        <v>681</v>
      </c>
      <c r="D414" s="7" t="s">
        <v>682</v>
      </c>
      <c r="E414" s="12">
        <v>1</v>
      </c>
      <c r="F414" s="13">
        <v>0.00795212</v>
      </c>
      <c r="G414" s="7">
        <v>5</v>
      </c>
      <c r="H414" s="7">
        <v>2</v>
      </c>
      <c r="I414" s="7">
        <v>3.5</v>
      </c>
      <c r="J414" s="7">
        <v>0.4</v>
      </c>
      <c r="K414" s="7">
        <v>0.1</v>
      </c>
      <c r="L414" s="7" t="s">
        <v>11</v>
      </c>
      <c r="M414" s="7" t="s">
        <v>11</v>
      </c>
      <c r="N414" s="17" t="s">
        <v>273</v>
      </c>
    </row>
    <row r="415" ht="17.25" customHeight="1" spans="1:14">
      <c r="A415" s="7"/>
      <c r="B415" s="7" t="s">
        <v>683</v>
      </c>
      <c r="C415" s="7" t="s">
        <v>684</v>
      </c>
      <c r="D415" s="7" t="s">
        <v>685</v>
      </c>
      <c r="E415" s="12">
        <v>1</v>
      </c>
      <c r="F415" s="13">
        <v>0.0051765</v>
      </c>
      <c r="G415" s="7">
        <v>9.41</v>
      </c>
      <c r="H415" s="7">
        <v>4.49</v>
      </c>
      <c r="I415" s="7">
        <v>7.53</v>
      </c>
      <c r="J415" s="7">
        <v>0.5</v>
      </c>
      <c r="K415" s="7">
        <v>0.25</v>
      </c>
      <c r="L415" s="7" t="s">
        <v>11</v>
      </c>
      <c r="M415" s="7" t="s">
        <v>11</v>
      </c>
      <c r="N415" s="17" t="s">
        <v>686</v>
      </c>
    </row>
    <row r="416" ht="17.25" customHeight="1" spans="1:14">
      <c r="A416" s="7"/>
      <c r="B416" s="7" t="s">
        <v>687</v>
      </c>
      <c r="C416" s="7" t="s">
        <v>688</v>
      </c>
      <c r="D416" s="7" t="s">
        <v>689</v>
      </c>
      <c r="E416" s="12">
        <v>2</v>
      </c>
      <c r="F416" s="13">
        <v>0.0058007</v>
      </c>
      <c r="G416" s="7"/>
      <c r="H416" s="7"/>
      <c r="I416" s="7"/>
      <c r="J416" s="7">
        <v>1.2</v>
      </c>
      <c r="K416" s="7">
        <v>0.6</v>
      </c>
      <c r="L416" s="7" t="s">
        <v>11</v>
      </c>
      <c r="M416" s="7" t="s">
        <v>11</v>
      </c>
      <c r="N416" s="17" t="s">
        <v>580</v>
      </c>
    </row>
    <row r="417" ht="17.25" customHeight="1" spans="1:14">
      <c r="A417" s="7"/>
      <c r="B417" s="7" t="s">
        <v>690</v>
      </c>
      <c r="C417" s="7" t="s">
        <v>691</v>
      </c>
      <c r="D417" s="7" t="s">
        <v>692</v>
      </c>
      <c r="E417" s="12">
        <v>4</v>
      </c>
      <c r="F417" s="13">
        <v>0.00033</v>
      </c>
      <c r="G417" s="7"/>
      <c r="H417" s="7"/>
      <c r="I417" s="7"/>
      <c r="J417" s="7">
        <v>0</v>
      </c>
      <c r="K417" s="7">
        <v>0</v>
      </c>
      <c r="L417" s="7" t="s">
        <v>11</v>
      </c>
      <c r="M417" s="7" t="s">
        <v>11</v>
      </c>
      <c r="N417" s="17" t="s">
        <v>354</v>
      </c>
    </row>
    <row r="418" ht="17.25" customHeight="1" spans="1:14">
      <c r="A418" s="9"/>
      <c r="B418" s="9" t="s">
        <v>675</v>
      </c>
      <c r="C418" s="9"/>
      <c r="D418" s="10" t="s">
        <v>120</v>
      </c>
      <c r="E418" s="14">
        <v>1</v>
      </c>
      <c r="F418" s="9">
        <f>SUMPRODUCT(F413:F417*E413:E417)</f>
        <v>0.07720977</v>
      </c>
      <c r="G418" s="10" t="s">
        <v>121</v>
      </c>
      <c r="H418" s="10" t="s">
        <v>121</v>
      </c>
      <c r="I418" s="10" t="s">
        <v>121</v>
      </c>
      <c r="J418" s="9">
        <f>SUMPRODUCT(J413:J417*E413:E417)</f>
        <v>11.1</v>
      </c>
      <c r="K418" s="9">
        <f>SUMPRODUCT(K413:K417*E413:E417)</f>
        <v>7.2</v>
      </c>
      <c r="L418" s="9"/>
      <c r="M418" s="9"/>
      <c r="N418" s="18"/>
    </row>
    <row r="419" ht="17.25" customHeight="1" spans="1:14">
      <c r="A419" s="9"/>
      <c r="B419" s="9" t="s">
        <v>122</v>
      </c>
      <c r="C419" s="9" t="s">
        <v>675</v>
      </c>
      <c r="D419" s="10" t="s">
        <v>17</v>
      </c>
      <c r="E419" s="14">
        <v>1</v>
      </c>
      <c r="F419" s="9">
        <f>E419*SUMPRODUCT(F413:F417*E413:E417)</f>
        <v>0.07720977</v>
      </c>
      <c r="G419" s="10">
        <v>0</v>
      </c>
      <c r="H419" s="10">
        <v>0</v>
      </c>
      <c r="I419" s="10">
        <v>0</v>
      </c>
      <c r="J419" s="9">
        <f>E419*SUMPRODUCT(J413:J417*E413:E417)</f>
        <v>11.1</v>
      </c>
      <c r="K419" s="9">
        <f>E419*SUMPRODUCT(K413:K417*E413:E417)</f>
        <v>7.2</v>
      </c>
      <c r="L419" s="9"/>
      <c r="M419" s="9"/>
      <c r="N419" s="18"/>
    </row>
    <row r="420" ht="17.25" customHeight="1" spans="1:14">
      <c r="A420" s="9"/>
      <c r="B420" s="9" t="s">
        <v>123</v>
      </c>
      <c r="C420" s="9" t="s">
        <v>673</v>
      </c>
      <c r="D420" s="9"/>
      <c r="E420" s="14"/>
      <c r="F420" s="9"/>
      <c r="G420" s="9">
        <f>G419</f>
        <v>0</v>
      </c>
      <c r="H420" s="9">
        <f>H419</f>
        <v>0</v>
      </c>
      <c r="I420" s="9">
        <f>I419</f>
        <v>0</v>
      </c>
      <c r="J420" s="9">
        <f>J419</f>
        <v>11.1</v>
      </c>
      <c r="K420" s="9">
        <f>K419</f>
        <v>7.2</v>
      </c>
      <c r="L420" s="9"/>
      <c r="M420" s="9"/>
      <c r="N420" s="19"/>
    </row>
    <row r="421" ht="23" customHeight="1" spans="1:14">
      <c r="A421" s="6" t="s">
        <v>693</v>
      </c>
      <c r="B421" s="6" t="s">
        <v>694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16"/>
    </row>
    <row r="422" ht="17.25" customHeight="1" spans="1:14">
      <c r="A422" s="7" t="s">
        <v>695</v>
      </c>
      <c r="B422" s="8" t="s">
        <v>696</v>
      </c>
      <c r="C422" s="8"/>
      <c r="D422" s="7"/>
      <c r="E422" s="12"/>
      <c r="F422" s="7"/>
      <c r="G422" s="7"/>
      <c r="J422" s="7"/>
      <c r="K422" s="7"/>
      <c r="L422" s="7"/>
      <c r="M422" s="7"/>
      <c r="N422" s="17"/>
    </row>
    <row r="423" ht="17.25" customHeight="1" spans="1:14">
      <c r="A423" s="7"/>
      <c r="B423" s="7" t="s">
        <v>697</v>
      </c>
      <c r="C423" s="7" t="s">
        <v>698</v>
      </c>
      <c r="D423" s="7" t="s">
        <v>699</v>
      </c>
      <c r="E423" s="12">
        <v>1</v>
      </c>
      <c r="F423" s="13">
        <v>0.00033</v>
      </c>
      <c r="G423" s="20"/>
      <c r="H423" s="20"/>
      <c r="I423" s="20"/>
      <c r="J423" s="7">
        <v>0</v>
      </c>
      <c r="K423" s="7">
        <v>0</v>
      </c>
      <c r="L423" s="7" t="s">
        <v>700</v>
      </c>
      <c r="M423" s="7" t="s">
        <v>701</v>
      </c>
      <c r="N423" s="17" t="s">
        <v>702</v>
      </c>
    </row>
    <row r="424" ht="17.25" customHeight="1" spans="1:14">
      <c r="A424" s="7"/>
      <c r="B424" s="7" t="s">
        <v>703</v>
      </c>
      <c r="C424" s="7" t="s">
        <v>704</v>
      </c>
      <c r="D424" s="7" t="s">
        <v>705</v>
      </c>
      <c r="E424" s="12">
        <v>1</v>
      </c>
      <c r="F424" s="13">
        <v>0.0063074</v>
      </c>
      <c r="G424" s="7">
        <v>11.39</v>
      </c>
      <c r="H424" s="7">
        <v>1.47</v>
      </c>
      <c r="I424" s="7">
        <v>4.28</v>
      </c>
      <c r="J424" s="7">
        <v>0.9</v>
      </c>
      <c r="K424" s="7">
        <v>0.7</v>
      </c>
      <c r="L424" s="7" t="s">
        <v>11</v>
      </c>
      <c r="M424" s="7" t="s">
        <v>11</v>
      </c>
      <c r="N424" s="17" t="s">
        <v>706</v>
      </c>
    </row>
    <row r="425" ht="17.25" customHeight="1" spans="1:14">
      <c r="A425" s="7"/>
      <c r="B425" s="7" t="s">
        <v>707</v>
      </c>
      <c r="C425" s="7" t="s">
        <v>708</v>
      </c>
      <c r="D425" s="7" t="s">
        <v>709</v>
      </c>
      <c r="E425" s="12">
        <v>1</v>
      </c>
      <c r="F425" s="13">
        <v>0.00264</v>
      </c>
      <c r="G425" s="20"/>
      <c r="H425" s="20"/>
      <c r="I425" s="20"/>
      <c r="J425" s="7">
        <v>0.55</v>
      </c>
      <c r="K425" s="7">
        <v>0.5</v>
      </c>
      <c r="L425" s="7" t="s">
        <v>11</v>
      </c>
      <c r="M425" s="7" t="s">
        <v>11</v>
      </c>
      <c r="N425" s="17" t="s">
        <v>710</v>
      </c>
    </row>
    <row r="426" ht="17.25" customHeight="1" spans="1:14">
      <c r="A426" s="7"/>
      <c r="B426" s="7" t="s">
        <v>711</v>
      </c>
      <c r="C426" s="7" t="s">
        <v>712</v>
      </c>
      <c r="D426" s="7" t="s">
        <v>713</v>
      </c>
      <c r="E426" s="12">
        <v>1</v>
      </c>
      <c r="F426" s="13">
        <v>0.00264</v>
      </c>
      <c r="G426" s="20"/>
      <c r="H426" s="20"/>
      <c r="I426" s="20"/>
      <c r="J426" s="7">
        <v>0.55</v>
      </c>
      <c r="K426" s="7">
        <v>0.5</v>
      </c>
      <c r="L426" s="7" t="s">
        <v>11</v>
      </c>
      <c r="M426" s="7" t="s">
        <v>11</v>
      </c>
      <c r="N426" s="17" t="s">
        <v>710</v>
      </c>
    </row>
    <row r="427" ht="17.25" customHeight="1" spans="1:14">
      <c r="A427" s="7"/>
      <c r="B427" s="7" t="s">
        <v>714</v>
      </c>
      <c r="C427" s="7" t="s">
        <v>715</v>
      </c>
      <c r="D427" s="7" t="s">
        <v>716</v>
      </c>
      <c r="E427" s="12">
        <v>50</v>
      </c>
      <c r="F427" s="7"/>
      <c r="G427" s="7"/>
      <c r="H427" s="7"/>
      <c r="I427" s="7"/>
      <c r="J427" s="7"/>
      <c r="K427" s="7"/>
      <c r="L427" s="7"/>
      <c r="M427" s="7"/>
      <c r="N427" s="17"/>
    </row>
    <row r="428" ht="17.25" customHeight="1" spans="1:14">
      <c r="A428" s="9"/>
      <c r="B428" s="9" t="s">
        <v>696</v>
      </c>
      <c r="C428" s="9"/>
      <c r="D428" s="10" t="s">
        <v>120</v>
      </c>
      <c r="E428" s="14">
        <v>1</v>
      </c>
      <c r="F428" s="9">
        <f>SUMPRODUCT(F423:F427*E423:E427)</f>
        <v>0.0119174</v>
      </c>
      <c r="G428" s="10" t="s">
        <v>121</v>
      </c>
      <c r="H428" s="10" t="s">
        <v>121</v>
      </c>
      <c r="I428" s="10" t="s">
        <v>121</v>
      </c>
      <c r="J428" s="9">
        <f>SUMPRODUCT(J423:J427*E423:E427)</f>
        <v>2</v>
      </c>
      <c r="K428" s="9">
        <f>SUMPRODUCT(K423:K427*E423:E427)</f>
        <v>1.7</v>
      </c>
      <c r="L428" s="9"/>
      <c r="M428" s="9"/>
      <c r="N428" s="18"/>
    </row>
    <row r="429" ht="17.25" customHeight="1" spans="1:14">
      <c r="A429" s="9"/>
      <c r="B429" s="9" t="s">
        <v>122</v>
      </c>
      <c r="C429" s="9" t="s">
        <v>696</v>
      </c>
      <c r="D429" s="10" t="s">
        <v>17</v>
      </c>
      <c r="E429" s="14">
        <v>1</v>
      </c>
      <c r="F429" s="9">
        <f>E429*SUMPRODUCT(F423:F427*E423:E427)</f>
        <v>0.0119174</v>
      </c>
      <c r="G429" s="10">
        <v>0</v>
      </c>
      <c r="H429" s="10">
        <v>0</v>
      </c>
      <c r="I429" s="10">
        <v>0</v>
      </c>
      <c r="J429" s="9">
        <f>E429*SUMPRODUCT(J423:J427*E423:E427)</f>
        <v>2</v>
      </c>
      <c r="K429" s="9">
        <f>E429*SUMPRODUCT(K423:K427*E423:E427)</f>
        <v>1.7</v>
      </c>
      <c r="L429" s="9"/>
      <c r="M429" s="9"/>
      <c r="N429" s="18"/>
    </row>
    <row r="430" ht="17.25" customHeight="1" spans="1:14">
      <c r="A430" s="9"/>
      <c r="B430" s="9" t="s">
        <v>123</v>
      </c>
      <c r="C430" s="9" t="s">
        <v>694</v>
      </c>
      <c r="D430" s="9"/>
      <c r="E430" s="14"/>
      <c r="F430" s="9"/>
      <c r="G430" s="9">
        <f>G429</f>
        <v>0</v>
      </c>
      <c r="H430" s="9">
        <f>H429</f>
        <v>0</v>
      </c>
      <c r="I430" s="9">
        <f>I429</f>
        <v>0</v>
      </c>
      <c r="J430" s="9">
        <f>J429</f>
        <v>2</v>
      </c>
      <c r="K430" s="9">
        <f>K429</f>
        <v>1.7</v>
      </c>
      <c r="L430" s="9"/>
      <c r="M430" s="9"/>
      <c r="N430" s="19"/>
    </row>
    <row r="431" ht="23" customHeight="1" spans="1:14">
      <c r="A431" s="6" t="s">
        <v>717</v>
      </c>
      <c r="B431" s="6" t="s">
        <v>718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16"/>
    </row>
    <row r="432" ht="17.25" customHeight="1" spans="1:14">
      <c r="A432" s="7" t="s">
        <v>719</v>
      </c>
      <c r="B432" s="8" t="s">
        <v>720</v>
      </c>
      <c r="C432" s="8"/>
      <c r="D432" s="7"/>
      <c r="E432" s="12"/>
      <c r="F432" s="7"/>
      <c r="G432" s="7"/>
      <c r="J432" s="7"/>
      <c r="K432" s="7"/>
      <c r="L432" s="7"/>
      <c r="M432" s="7"/>
      <c r="N432" s="17"/>
    </row>
    <row r="433" ht="17.25" customHeight="1" spans="1:14">
      <c r="A433" s="7"/>
      <c r="B433" s="7" t="s">
        <v>721</v>
      </c>
      <c r="C433" s="7" t="s">
        <v>722</v>
      </c>
      <c r="D433" s="7" t="s">
        <v>723</v>
      </c>
      <c r="E433" s="12">
        <v>1</v>
      </c>
      <c r="F433" s="13">
        <v>0.15282792</v>
      </c>
      <c r="G433" s="7">
        <v>289</v>
      </c>
      <c r="H433" s="7">
        <v>22</v>
      </c>
      <c r="I433" s="7">
        <v>260.1</v>
      </c>
      <c r="J433" s="7">
        <v>29.5</v>
      </c>
      <c r="K433" s="7">
        <v>0</v>
      </c>
      <c r="L433" s="7" t="s">
        <v>724</v>
      </c>
      <c r="M433" s="7" t="s">
        <v>725</v>
      </c>
      <c r="N433" s="17" t="s">
        <v>726</v>
      </c>
    </row>
    <row r="434" ht="17.25" customHeight="1" spans="1:14">
      <c r="A434" s="7"/>
      <c r="B434" s="7" t="s">
        <v>727</v>
      </c>
      <c r="C434" s="7" t="s">
        <v>728</v>
      </c>
      <c r="D434" s="7" t="s">
        <v>729</v>
      </c>
      <c r="E434" s="12">
        <v>1</v>
      </c>
      <c r="F434" s="13">
        <v>0.00216832</v>
      </c>
      <c r="G434" s="7">
        <v>5.4</v>
      </c>
      <c r="H434" s="7">
        <v>4.4</v>
      </c>
      <c r="I434" s="7">
        <v>4.59</v>
      </c>
      <c r="J434" s="7">
        <v>0.3</v>
      </c>
      <c r="K434" s="7">
        <v>0.15</v>
      </c>
      <c r="L434" s="7" t="s">
        <v>11</v>
      </c>
      <c r="M434" s="7" t="s">
        <v>40</v>
      </c>
      <c r="N434" s="17" t="s">
        <v>730</v>
      </c>
    </row>
    <row r="435" ht="17.25" customHeight="1" spans="1:14">
      <c r="A435" s="9"/>
      <c r="B435" s="9" t="s">
        <v>720</v>
      </c>
      <c r="C435" s="9"/>
      <c r="D435" s="10" t="s">
        <v>120</v>
      </c>
      <c r="E435" s="14">
        <v>1</v>
      </c>
      <c r="F435" s="9">
        <f>SUMPRODUCT(F433:F434*E433:E434)</f>
        <v>0.15499624</v>
      </c>
      <c r="G435" s="10" t="s">
        <v>731</v>
      </c>
      <c r="H435" s="10" t="s">
        <v>732</v>
      </c>
      <c r="I435" s="10" t="s">
        <v>733</v>
      </c>
      <c r="J435" s="9">
        <f>SUMPRODUCT(J433:J434*E433:E434)</f>
        <v>29.8</v>
      </c>
      <c r="K435" s="9">
        <f>SUMPRODUCT(K433:K434*E433:E434)</f>
        <v>0.15</v>
      </c>
      <c r="L435" s="9"/>
      <c r="M435" s="9"/>
      <c r="N435" s="18"/>
    </row>
    <row r="436" ht="17.25" customHeight="1" spans="1:14">
      <c r="A436" s="9"/>
      <c r="B436" s="9" t="s">
        <v>122</v>
      </c>
      <c r="C436" s="9" t="s">
        <v>720</v>
      </c>
      <c r="D436" s="10" t="s">
        <v>17</v>
      </c>
      <c r="E436" s="14">
        <v>1</v>
      </c>
      <c r="F436" s="9">
        <f>E436*SUMPRODUCT(F433:F434*E433:E434)</f>
        <v>0.15499624</v>
      </c>
      <c r="G436" s="10">
        <v>294.4</v>
      </c>
      <c r="H436" s="10">
        <v>26.4</v>
      </c>
      <c r="I436" s="10">
        <v>264.69</v>
      </c>
      <c r="J436" s="9">
        <f>E436*SUMPRODUCT(J433:J434*E433:E434)</f>
        <v>29.8</v>
      </c>
      <c r="K436" s="9">
        <f>E436*SUMPRODUCT(K433:K434*E433:E434)</f>
        <v>0.15</v>
      </c>
      <c r="L436" s="9"/>
      <c r="M436" s="9"/>
      <c r="N436" s="18"/>
    </row>
    <row r="437" ht="17.25" customHeight="1" spans="1:14">
      <c r="A437" s="9"/>
      <c r="B437" s="9" t="s">
        <v>123</v>
      </c>
      <c r="C437" s="9" t="s">
        <v>718</v>
      </c>
      <c r="D437" s="9"/>
      <c r="E437" s="14"/>
      <c r="F437" s="9"/>
      <c r="G437" s="9">
        <f>G436</f>
        <v>294.4</v>
      </c>
      <c r="H437" s="9">
        <f>H436</f>
        <v>26.4</v>
      </c>
      <c r="I437" s="9">
        <f>I436</f>
        <v>264.69</v>
      </c>
      <c r="J437" s="9">
        <f>J436</f>
        <v>29.8</v>
      </c>
      <c r="K437" s="9">
        <f>K436</f>
        <v>0.15</v>
      </c>
      <c r="L437" s="9"/>
      <c r="M437" s="9"/>
      <c r="N437" s="19"/>
    </row>
    <row r="438" ht="23" customHeight="1" spans="1:14">
      <c r="A438" s="6" t="s">
        <v>734</v>
      </c>
      <c r="B438" s="6" t="s">
        <v>735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16"/>
    </row>
    <row r="439" ht="17.25" customHeight="1" spans="1:14">
      <c r="A439" s="7" t="s">
        <v>736</v>
      </c>
      <c r="B439" s="8" t="s">
        <v>737</v>
      </c>
      <c r="C439" s="8"/>
      <c r="D439" s="7"/>
      <c r="E439" s="12"/>
      <c r="F439" s="7"/>
      <c r="G439" s="7"/>
      <c r="J439" s="7"/>
      <c r="K439" s="7"/>
      <c r="L439" s="7"/>
      <c r="M439" s="7"/>
      <c r="N439" s="17"/>
    </row>
    <row r="440" ht="17.25" customHeight="1" spans="1:14">
      <c r="A440" s="7"/>
      <c r="B440" s="7" t="s">
        <v>738</v>
      </c>
      <c r="C440" s="7" t="s">
        <v>739</v>
      </c>
      <c r="D440" s="7" t="s">
        <v>740</v>
      </c>
      <c r="E440" s="12">
        <v>1</v>
      </c>
      <c r="F440" s="13">
        <v>0.062341125</v>
      </c>
      <c r="G440" s="7">
        <v>232.69</v>
      </c>
      <c r="H440" s="7">
        <v>138.02</v>
      </c>
      <c r="I440" s="7">
        <v>149.5</v>
      </c>
      <c r="J440" s="7">
        <v>8.7</v>
      </c>
      <c r="K440" s="7">
        <v>6.15</v>
      </c>
      <c r="L440" s="7" t="s">
        <v>741</v>
      </c>
      <c r="M440" s="7" t="s">
        <v>742</v>
      </c>
      <c r="N440" s="17" t="s">
        <v>743</v>
      </c>
    </row>
    <row r="441" ht="17.25" customHeight="1" spans="1:14">
      <c r="A441" s="7"/>
      <c r="B441" s="7" t="s">
        <v>680</v>
      </c>
      <c r="C441" s="7" t="s">
        <v>681</v>
      </c>
      <c r="D441" s="7" t="s">
        <v>682</v>
      </c>
      <c r="E441" s="12">
        <v>1</v>
      </c>
      <c r="F441" s="13">
        <v>0.00795212</v>
      </c>
      <c r="G441" s="7">
        <v>5</v>
      </c>
      <c r="H441" s="7">
        <v>2</v>
      </c>
      <c r="I441" s="7">
        <v>3.5</v>
      </c>
      <c r="J441" s="7">
        <v>0.4</v>
      </c>
      <c r="K441" s="7">
        <v>0.1</v>
      </c>
      <c r="L441" s="7" t="s">
        <v>11</v>
      </c>
      <c r="M441" s="7" t="s">
        <v>11</v>
      </c>
      <c r="N441" s="17" t="s">
        <v>273</v>
      </c>
    </row>
    <row r="442" ht="17.25" customHeight="1" spans="1:14">
      <c r="A442" s="7"/>
      <c r="B442" s="7" t="s">
        <v>744</v>
      </c>
      <c r="C442" s="7" t="s">
        <v>745</v>
      </c>
      <c r="D442" s="7" t="s">
        <v>746</v>
      </c>
      <c r="E442" s="12">
        <v>2</v>
      </c>
      <c r="F442" s="13">
        <v>0.0002745</v>
      </c>
      <c r="G442" s="7"/>
      <c r="H442" s="7"/>
      <c r="I442" s="7"/>
      <c r="J442" s="7">
        <v>0.09</v>
      </c>
      <c r="K442" s="7">
        <v>0.07</v>
      </c>
      <c r="L442" s="7" t="s">
        <v>11</v>
      </c>
      <c r="M442" s="7" t="s">
        <v>11</v>
      </c>
      <c r="N442" s="17" t="s">
        <v>576</v>
      </c>
    </row>
    <row r="443" ht="17.25" customHeight="1" spans="1:14">
      <c r="A443" s="7"/>
      <c r="B443" s="7" t="s">
        <v>747</v>
      </c>
      <c r="C443" s="7" t="s">
        <v>748</v>
      </c>
      <c r="D443" s="7" t="s">
        <v>749</v>
      </c>
      <c r="E443" s="12">
        <v>2</v>
      </c>
      <c r="F443" s="13">
        <v>0.0058007</v>
      </c>
      <c r="G443" s="7"/>
      <c r="H443" s="7"/>
      <c r="I443" s="7"/>
      <c r="J443" s="7">
        <v>1.25</v>
      </c>
      <c r="K443" s="7">
        <v>0.7</v>
      </c>
      <c r="L443" s="7" t="s">
        <v>11</v>
      </c>
      <c r="M443" s="7" t="s">
        <v>11</v>
      </c>
      <c r="N443" s="17" t="s">
        <v>580</v>
      </c>
    </row>
    <row r="444" ht="17.25" customHeight="1" spans="1:14">
      <c r="A444" s="7"/>
      <c r="B444" s="7" t="s">
        <v>581</v>
      </c>
      <c r="C444" s="7" t="s">
        <v>582</v>
      </c>
      <c r="D444" s="7" t="s">
        <v>583</v>
      </c>
      <c r="E444" s="12">
        <v>3</v>
      </c>
      <c r="F444" s="13">
        <v>0.00092796</v>
      </c>
      <c r="G444" s="7">
        <v>10</v>
      </c>
      <c r="H444" s="7">
        <v>1</v>
      </c>
      <c r="I444" s="7">
        <v>3</v>
      </c>
      <c r="J444" s="7">
        <v>0.2</v>
      </c>
      <c r="K444" s="7">
        <v>0.15</v>
      </c>
      <c r="L444" s="7" t="s">
        <v>11</v>
      </c>
      <c r="M444" s="7" t="s">
        <v>11</v>
      </c>
      <c r="N444" s="17" t="s">
        <v>584</v>
      </c>
    </row>
    <row r="445" ht="17.25" customHeight="1" spans="1:14">
      <c r="A445" s="9"/>
      <c r="B445" s="9" t="s">
        <v>737</v>
      </c>
      <c r="C445" s="9"/>
      <c r="D445" s="10" t="s">
        <v>120</v>
      </c>
      <c r="E445" s="14">
        <v>1</v>
      </c>
      <c r="F445" s="9">
        <f>SUMPRODUCT(F440:F444*E440:E444)</f>
        <v>0.085227525</v>
      </c>
      <c r="G445" s="10" t="s">
        <v>750</v>
      </c>
      <c r="H445" s="10" t="s">
        <v>751</v>
      </c>
      <c r="I445" s="10" t="s">
        <v>752</v>
      </c>
      <c r="J445" s="9">
        <f>SUMPRODUCT(J440:J444*E440:E444)</f>
        <v>12.38</v>
      </c>
      <c r="K445" s="9">
        <f>SUMPRODUCT(K440:K444*E440:E444)</f>
        <v>8.24</v>
      </c>
      <c r="L445" s="9"/>
      <c r="M445" s="9"/>
      <c r="N445" s="18"/>
    </row>
    <row r="446" ht="17.25" customHeight="1" spans="1:14">
      <c r="A446" s="9"/>
      <c r="B446" s="9" t="s">
        <v>122</v>
      </c>
      <c r="C446" s="9" t="s">
        <v>737</v>
      </c>
      <c r="D446" s="10" t="s">
        <v>17</v>
      </c>
      <c r="E446" s="14">
        <v>2</v>
      </c>
      <c r="F446" s="9">
        <f>E446*SUMPRODUCT(F440:F444*E440:E444)</f>
        <v>0.17045505</v>
      </c>
      <c r="G446" s="10">
        <v>535.38</v>
      </c>
      <c r="H446" s="10">
        <v>286.04</v>
      </c>
      <c r="I446" s="10">
        <v>324</v>
      </c>
      <c r="J446" s="9">
        <f>E446*SUMPRODUCT(J440:J444*E440:E444)</f>
        <v>24.76</v>
      </c>
      <c r="K446" s="9">
        <f>E446*SUMPRODUCT(K440:K444*E440:E444)</f>
        <v>16.48</v>
      </c>
      <c r="L446" s="9"/>
      <c r="M446" s="9"/>
      <c r="N446" s="18"/>
    </row>
    <row r="447" ht="17.25" customHeight="1" spans="1:14">
      <c r="A447" s="9"/>
      <c r="B447" s="9" t="s">
        <v>123</v>
      </c>
      <c r="C447" s="9" t="s">
        <v>735</v>
      </c>
      <c r="D447" s="9"/>
      <c r="E447" s="14"/>
      <c r="F447" s="9"/>
      <c r="G447" s="9">
        <f>G446</f>
        <v>535.38</v>
      </c>
      <c r="H447" s="9">
        <f>H446</f>
        <v>286.04</v>
      </c>
      <c r="I447" s="9">
        <f>I446</f>
        <v>324</v>
      </c>
      <c r="J447" s="9">
        <f>J446</f>
        <v>24.76</v>
      </c>
      <c r="K447" s="9">
        <f>K446</f>
        <v>16.48</v>
      </c>
      <c r="L447" s="9"/>
      <c r="M447" s="9"/>
      <c r="N447" s="19"/>
    </row>
    <row r="448" ht="23" customHeight="1" spans="1:14">
      <c r="A448" s="6" t="s">
        <v>753</v>
      </c>
      <c r="B448" s="6" t="s">
        <v>754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16"/>
    </row>
    <row r="449" ht="17.25" customHeight="1" spans="1:14">
      <c r="A449" s="7" t="s">
        <v>755</v>
      </c>
      <c r="B449" s="8" t="s">
        <v>756</v>
      </c>
      <c r="C449" s="8"/>
      <c r="D449" s="7"/>
      <c r="E449" s="12"/>
      <c r="F449" s="7"/>
      <c r="G449" s="7"/>
      <c r="J449" s="7"/>
      <c r="K449" s="7"/>
      <c r="L449" s="7"/>
      <c r="M449" s="7"/>
      <c r="N449" s="17"/>
    </row>
    <row r="450" ht="17.25" customHeight="1" spans="1:14">
      <c r="A450" s="7"/>
      <c r="B450" s="7" t="s">
        <v>757</v>
      </c>
      <c r="C450" s="7" t="s">
        <v>758</v>
      </c>
      <c r="D450" s="7" t="s">
        <v>759</v>
      </c>
      <c r="E450" s="12">
        <v>1</v>
      </c>
      <c r="F450" s="13">
        <v>0.0888</v>
      </c>
      <c r="G450" s="7">
        <v>110.86</v>
      </c>
      <c r="H450" s="7">
        <v>32.83</v>
      </c>
      <c r="I450" s="7">
        <v>62.01</v>
      </c>
      <c r="J450" s="7">
        <v>10.7</v>
      </c>
      <c r="K450" s="7">
        <v>7.65</v>
      </c>
      <c r="L450" s="7" t="s">
        <v>760</v>
      </c>
      <c r="M450" s="7" t="s">
        <v>761</v>
      </c>
      <c r="N450" s="17" t="s">
        <v>762</v>
      </c>
    </row>
    <row r="451" ht="17.25" customHeight="1" spans="1:14">
      <c r="A451" s="7"/>
      <c r="B451" s="7" t="s">
        <v>763</v>
      </c>
      <c r="C451" s="7" t="s">
        <v>764</v>
      </c>
      <c r="D451" s="7" t="s">
        <v>765</v>
      </c>
      <c r="E451" s="12">
        <v>2</v>
      </c>
      <c r="F451" s="13">
        <v>0.0072345</v>
      </c>
      <c r="G451" s="7">
        <v>5</v>
      </c>
      <c r="H451" s="7">
        <v>2</v>
      </c>
      <c r="I451" s="7">
        <v>3.5</v>
      </c>
      <c r="J451" s="7">
        <v>0.4</v>
      </c>
      <c r="K451" s="7">
        <v>0.1</v>
      </c>
      <c r="L451" s="7" t="s">
        <v>11</v>
      </c>
      <c r="M451" s="7" t="s">
        <v>11</v>
      </c>
      <c r="N451" s="17" t="s">
        <v>68</v>
      </c>
    </row>
    <row r="452" ht="17.25" customHeight="1" spans="1:14">
      <c r="A452" s="7"/>
      <c r="B452" s="7" t="s">
        <v>766</v>
      </c>
      <c r="C452" s="7" t="s">
        <v>767</v>
      </c>
      <c r="D452" s="7" t="s">
        <v>768</v>
      </c>
      <c r="E452" s="12">
        <v>1</v>
      </c>
      <c r="F452" s="13">
        <v>0.02027575</v>
      </c>
      <c r="G452" s="7">
        <v>136.92</v>
      </c>
      <c r="H452" s="7">
        <v>58.65</v>
      </c>
      <c r="I452" s="7">
        <v>73.89</v>
      </c>
      <c r="J452" s="7">
        <v>2.45</v>
      </c>
      <c r="K452" s="7">
        <v>1.65</v>
      </c>
      <c r="L452" s="7" t="s">
        <v>11</v>
      </c>
      <c r="M452" s="7" t="s">
        <v>40</v>
      </c>
      <c r="N452" s="17" t="s">
        <v>769</v>
      </c>
    </row>
    <row r="453" ht="17.25" customHeight="1" spans="1:14">
      <c r="A453" s="7"/>
      <c r="B453" s="7" t="s">
        <v>747</v>
      </c>
      <c r="C453" s="7" t="s">
        <v>748</v>
      </c>
      <c r="D453" s="7" t="s">
        <v>749</v>
      </c>
      <c r="E453" s="12">
        <v>2</v>
      </c>
      <c r="F453" s="13">
        <v>0.0058007</v>
      </c>
      <c r="G453" s="7"/>
      <c r="H453" s="7"/>
      <c r="I453" s="7"/>
      <c r="J453" s="7">
        <v>1.25</v>
      </c>
      <c r="K453" s="7">
        <v>0.7</v>
      </c>
      <c r="L453" s="7" t="s">
        <v>11</v>
      </c>
      <c r="M453" s="7" t="s">
        <v>11</v>
      </c>
      <c r="N453" s="17" t="s">
        <v>580</v>
      </c>
    </row>
    <row r="454" ht="17.25" customHeight="1" spans="1:14">
      <c r="A454" s="7"/>
      <c r="B454" s="7" t="s">
        <v>581</v>
      </c>
      <c r="C454" s="7" t="s">
        <v>582</v>
      </c>
      <c r="D454" s="7" t="s">
        <v>583</v>
      </c>
      <c r="E454" s="12">
        <v>4</v>
      </c>
      <c r="F454" s="13">
        <v>0.00092796</v>
      </c>
      <c r="G454" s="7">
        <v>10</v>
      </c>
      <c r="H454" s="7">
        <v>1</v>
      </c>
      <c r="I454" s="7">
        <v>3</v>
      </c>
      <c r="J454" s="7">
        <v>0.2</v>
      </c>
      <c r="K454" s="7">
        <v>0.15</v>
      </c>
      <c r="L454" s="7" t="s">
        <v>11</v>
      </c>
      <c r="M454" s="7" t="s">
        <v>11</v>
      </c>
      <c r="N454" s="17" t="s">
        <v>584</v>
      </c>
    </row>
    <row r="455" ht="17.25" customHeight="1" spans="1:14">
      <c r="A455" s="7"/>
      <c r="B455" s="7" t="s">
        <v>770</v>
      </c>
      <c r="C455" s="7" t="s">
        <v>771</v>
      </c>
      <c r="D455" s="7" t="s">
        <v>772</v>
      </c>
      <c r="E455" s="12">
        <v>1</v>
      </c>
      <c r="F455" s="13">
        <v>0.00033</v>
      </c>
      <c r="G455" s="7"/>
      <c r="H455" s="7"/>
      <c r="I455" s="7"/>
      <c r="J455" s="7">
        <v>0</v>
      </c>
      <c r="K455" s="7">
        <v>0</v>
      </c>
      <c r="L455" s="7" t="s">
        <v>11</v>
      </c>
      <c r="M455" s="7" t="s">
        <v>11</v>
      </c>
      <c r="N455" s="17" t="s">
        <v>354</v>
      </c>
    </row>
    <row r="456" ht="17.25" customHeight="1" spans="1:14">
      <c r="A456" s="7"/>
      <c r="B456" s="7" t="s">
        <v>773</v>
      </c>
      <c r="C456" s="7" t="s">
        <v>774</v>
      </c>
      <c r="D456" s="7" t="s">
        <v>775</v>
      </c>
      <c r="E456" s="12">
        <v>2</v>
      </c>
      <c r="F456" s="13">
        <v>0.00033</v>
      </c>
      <c r="G456" s="7"/>
      <c r="H456" s="7"/>
      <c r="I456" s="7"/>
      <c r="J456" s="7">
        <v>0</v>
      </c>
      <c r="K456" s="7">
        <v>0</v>
      </c>
      <c r="L456" s="7" t="s">
        <v>11</v>
      </c>
      <c r="M456" s="7" t="s">
        <v>11</v>
      </c>
      <c r="N456" s="17" t="s">
        <v>354</v>
      </c>
    </row>
    <row r="457" ht="17.25" customHeight="1" spans="1:14">
      <c r="A457" s="7"/>
      <c r="B457" s="7" t="s">
        <v>776</v>
      </c>
      <c r="C457" s="7" t="s">
        <v>777</v>
      </c>
      <c r="D457" s="7" t="s">
        <v>778</v>
      </c>
      <c r="E457" s="12">
        <v>2</v>
      </c>
      <c r="F457" s="13">
        <v>0.00033</v>
      </c>
      <c r="G457" s="7"/>
      <c r="H457" s="7"/>
      <c r="I457" s="7"/>
      <c r="J457" s="7">
        <v>0</v>
      </c>
      <c r="K457" s="7">
        <v>0</v>
      </c>
      <c r="L457" s="7" t="s">
        <v>11</v>
      </c>
      <c r="M457" s="7" t="s">
        <v>11</v>
      </c>
      <c r="N457" s="17" t="s">
        <v>354</v>
      </c>
    </row>
    <row r="458" ht="17.25" customHeight="1" spans="1:14">
      <c r="A458" s="7"/>
      <c r="B458" s="7" t="s">
        <v>779</v>
      </c>
      <c r="C458" s="7" t="s">
        <v>780</v>
      </c>
      <c r="D458" s="7" t="s">
        <v>781</v>
      </c>
      <c r="E458" s="12">
        <v>1</v>
      </c>
      <c r="F458" s="13">
        <v>0.00033</v>
      </c>
      <c r="G458" s="7"/>
      <c r="H458" s="7"/>
      <c r="I458" s="7"/>
      <c r="J458" s="7">
        <v>0</v>
      </c>
      <c r="K458" s="7">
        <v>0</v>
      </c>
      <c r="L458" s="7" t="s">
        <v>11</v>
      </c>
      <c r="M458" s="7" t="s">
        <v>11</v>
      </c>
      <c r="N458" s="17" t="s">
        <v>354</v>
      </c>
    </row>
    <row r="459" ht="17.25" customHeight="1" spans="1:14">
      <c r="A459" s="7"/>
      <c r="B459" s="7" t="s">
        <v>782</v>
      </c>
      <c r="C459" s="7" t="s">
        <v>783</v>
      </c>
      <c r="D459" s="7" t="s">
        <v>784</v>
      </c>
      <c r="E459" s="12">
        <v>2</v>
      </c>
      <c r="F459" s="13">
        <v>0.00033</v>
      </c>
      <c r="G459" s="7"/>
      <c r="H459" s="7"/>
      <c r="I459" s="7"/>
      <c r="J459" s="7">
        <v>0</v>
      </c>
      <c r="K459" s="7">
        <v>0</v>
      </c>
      <c r="L459" s="7" t="s">
        <v>11</v>
      </c>
      <c r="M459" s="7" t="s">
        <v>11</v>
      </c>
      <c r="N459" s="17" t="s">
        <v>354</v>
      </c>
    </row>
    <row r="460" ht="17.25" customHeight="1" spans="1:14">
      <c r="A460" s="7"/>
      <c r="B460" s="7" t="s">
        <v>785</v>
      </c>
      <c r="C460" s="7" t="s">
        <v>786</v>
      </c>
      <c r="D460" s="7" t="s">
        <v>787</v>
      </c>
      <c r="E460" s="12">
        <v>1</v>
      </c>
      <c r="F460" s="13">
        <v>0.00033</v>
      </c>
      <c r="G460" s="7"/>
      <c r="H460" s="7"/>
      <c r="I460" s="7"/>
      <c r="J460" s="7">
        <v>0</v>
      </c>
      <c r="K460" s="7">
        <v>0</v>
      </c>
      <c r="L460" s="7" t="s">
        <v>11</v>
      </c>
      <c r="M460" s="7" t="s">
        <v>11</v>
      </c>
      <c r="N460" s="17" t="s">
        <v>354</v>
      </c>
    </row>
    <row r="461" ht="17.25" customHeight="1" spans="1:14">
      <c r="A461" s="7"/>
      <c r="B461" s="7" t="s">
        <v>788</v>
      </c>
      <c r="C461" s="7" t="s">
        <v>789</v>
      </c>
      <c r="D461" s="7" t="s">
        <v>790</v>
      </c>
      <c r="E461" s="12">
        <v>2</v>
      </c>
      <c r="F461" s="13">
        <v>0.00033</v>
      </c>
      <c r="G461" s="7"/>
      <c r="H461" s="7"/>
      <c r="I461" s="7"/>
      <c r="J461" s="7">
        <v>0</v>
      </c>
      <c r="K461" s="7">
        <v>0</v>
      </c>
      <c r="L461" s="7" t="s">
        <v>11</v>
      </c>
      <c r="M461" s="7" t="s">
        <v>11</v>
      </c>
      <c r="N461" s="17" t="s">
        <v>354</v>
      </c>
    </row>
    <row r="462" ht="17.25" customHeight="1" spans="1:14">
      <c r="A462" s="7"/>
      <c r="B462" s="7" t="s">
        <v>791</v>
      </c>
      <c r="C462" s="7" t="s">
        <v>792</v>
      </c>
      <c r="D462" s="7" t="s">
        <v>793</v>
      </c>
      <c r="E462" s="12">
        <v>2</v>
      </c>
      <c r="F462" s="13">
        <v>0.00033</v>
      </c>
      <c r="G462" s="7"/>
      <c r="H462" s="7"/>
      <c r="I462" s="7"/>
      <c r="J462" s="7">
        <v>0</v>
      </c>
      <c r="K462" s="7">
        <v>0</v>
      </c>
      <c r="L462" s="7" t="s">
        <v>11</v>
      </c>
      <c r="M462" s="7" t="s">
        <v>11</v>
      </c>
      <c r="N462" s="17" t="s">
        <v>354</v>
      </c>
    </row>
    <row r="463" ht="17.25" customHeight="1" spans="1:14">
      <c r="A463" s="7"/>
      <c r="B463" s="7" t="s">
        <v>794</v>
      </c>
      <c r="C463" s="7" t="s">
        <v>795</v>
      </c>
      <c r="D463" s="7" t="s">
        <v>796</v>
      </c>
      <c r="E463" s="12">
        <v>1</v>
      </c>
      <c r="F463" s="13">
        <v>0.00033</v>
      </c>
      <c r="G463" s="7"/>
      <c r="H463" s="7"/>
      <c r="I463" s="7"/>
      <c r="J463" s="7">
        <v>0.1</v>
      </c>
      <c r="K463" s="7">
        <v>0.1</v>
      </c>
      <c r="L463" s="7" t="s">
        <v>11</v>
      </c>
      <c r="M463" s="7" t="s">
        <v>11</v>
      </c>
      <c r="N463" s="17" t="s">
        <v>354</v>
      </c>
    </row>
    <row r="464" ht="17.25" customHeight="1" spans="1:14">
      <c r="A464" s="7"/>
      <c r="B464" s="7" t="s">
        <v>797</v>
      </c>
      <c r="C464" s="7" t="s">
        <v>798</v>
      </c>
      <c r="D464" s="7" t="s">
        <v>799</v>
      </c>
      <c r="E464" s="12">
        <v>1</v>
      </c>
      <c r="F464" s="13">
        <v>0.00033</v>
      </c>
      <c r="G464" s="7"/>
      <c r="H464" s="7"/>
      <c r="I464" s="7"/>
      <c r="J464" s="7">
        <v>0</v>
      </c>
      <c r="K464" s="7">
        <v>0</v>
      </c>
      <c r="L464" s="7" t="s">
        <v>11</v>
      </c>
      <c r="M464" s="7" t="s">
        <v>11</v>
      </c>
      <c r="N464" s="17" t="s">
        <v>354</v>
      </c>
    </row>
    <row r="465" ht="17.25" customHeight="1" spans="1:14">
      <c r="A465" s="7"/>
      <c r="B465" s="7" t="s">
        <v>800</v>
      </c>
      <c r="C465" s="7" t="s">
        <v>801</v>
      </c>
      <c r="D465" s="7" t="s">
        <v>802</v>
      </c>
      <c r="E465" s="12">
        <v>1</v>
      </c>
      <c r="F465" s="13">
        <v>0.00033</v>
      </c>
      <c r="G465" s="7"/>
      <c r="H465" s="7"/>
      <c r="I465" s="7"/>
      <c r="J465" s="7">
        <v>0.1</v>
      </c>
      <c r="K465" s="7">
        <v>0.1</v>
      </c>
      <c r="L465" s="7" t="s">
        <v>11</v>
      </c>
      <c r="M465" s="7" t="s">
        <v>11</v>
      </c>
      <c r="N465" s="17" t="s">
        <v>354</v>
      </c>
    </row>
    <row r="466" ht="17.25" customHeight="1" spans="1:14">
      <c r="A466" s="7"/>
      <c r="B466" s="7" t="s">
        <v>803</v>
      </c>
      <c r="C466" s="7" t="s">
        <v>804</v>
      </c>
      <c r="D466" s="7" t="s">
        <v>805</v>
      </c>
      <c r="E466" s="12">
        <v>1</v>
      </c>
      <c r="F466" s="13">
        <v>0.00033</v>
      </c>
      <c r="G466" s="7"/>
      <c r="H466" s="7"/>
      <c r="I466" s="7"/>
      <c r="J466" s="7">
        <v>0</v>
      </c>
      <c r="K466" s="7">
        <v>0</v>
      </c>
      <c r="L466" s="7" t="s">
        <v>11</v>
      </c>
      <c r="M466" s="7" t="s">
        <v>11</v>
      </c>
      <c r="N466" s="17" t="s">
        <v>354</v>
      </c>
    </row>
    <row r="467" ht="17.25" customHeight="1" spans="1:14">
      <c r="A467" s="9"/>
      <c r="B467" s="9" t="s">
        <v>756</v>
      </c>
      <c r="C467" s="9"/>
      <c r="D467" s="10" t="s">
        <v>120</v>
      </c>
      <c r="E467" s="14">
        <v>1</v>
      </c>
      <c r="F467" s="9">
        <f>SUMPRODUCT(F450:F466*E450:E466)</f>
        <v>0.14446799</v>
      </c>
      <c r="G467" s="10" t="s">
        <v>806</v>
      </c>
      <c r="H467" s="10" t="s">
        <v>807</v>
      </c>
      <c r="I467" s="10" t="s">
        <v>808</v>
      </c>
      <c r="J467" s="9">
        <f>SUMPRODUCT(J450:J466*E450:E466)</f>
        <v>17.45</v>
      </c>
      <c r="K467" s="9">
        <f>SUMPRODUCT(K450:K466*E450:E466)</f>
        <v>11.7</v>
      </c>
      <c r="L467" s="9"/>
      <c r="M467" s="9"/>
      <c r="N467" s="18"/>
    </row>
    <row r="468" ht="17.25" customHeight="1" spans="1:14">
      <c r="A468" s="9"/>
      <c r="B468" s="9" t="s">
        <v>122</v>
      </c>
      <c r="C468" s="9" t="s">
        <v>756</v>
      </c>
      <c r="D468" s="10" t="s">
        <v>17</v>
      </c>
      <c r="E468" s="14">
        <v>2</v>
      </c>
      <c r="F468" s="9">
        <f>E468*SUMPRODUCT(F450:F466*E450:E466)</f>
        <v>0.28893598</v>
      </c>
      <c r="G468" s="10">
        <v>595.56</v>
      </c>
      <c r="H468" s="10">
        <v>198.96</v>
      </c>
      <c r="I468" s="10">
        <v>309.8</v>
      </c>
      <c r="J468" s="9">
        <f>E468*SUMPRODUCT(J450:J466*E450:E466)</f>
        <v>34.9</v>
      </c>
      <c r="K468" s="9">
        <f>E468*SUMPRODUCT(K450:K466*E450:E466)</f>
        <v>23.4</v>
      </c>
      <c r="L468" s="9"/>
      <c r="M468" s="9"/>
      <c r="N468" s="18"/>
    </row>
    <row r="469" ht="17.25" customHeight="1" spans="1:14">
      <c r="A469" s="9"/>
      <c r="B469" s="9" t="s">
        <v>123</v>
      </c>
      <c r="C469" s="9" t="s">
        <v>754</v>
      </c>
      <c r="D469" s="9"/>
      <c r="E469" s="14"/>
      <c r="F469" s="9"/>
      <c r="G469" s="9">
        <f>G468</f>
        <v>595.56</v>
      </c>
      <c r="H469" s="9">
        <f>H468</f>
        <v>198.96</v>
      </c>
      <c r="I469" s="9">
        <f>I468</f>
        <v>309.8</v>
      </c>
      <c r="J469" s="9">
        <f>J468</f>
        <v>34.9</v>
      </c>
      <c r="K469" s="9">
        <f>K468</f>
        <v>23.4</v>
      </c>
      <c r="L469" s="9"/>
      <c r="M469" s="9"/>
      <c r="N469" s="19"/>
    </row>
    <row r="470" ht="23" customHeight="1" spans="1:14">
      <c r="A470" s="6" t="s">
        <v>809</v>
      </c>
      <c r="B470" s="6" t="s">
        <v>810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16"/>
    </row>
    <row r="471" ht="17.25" customHeight="1" spans="1:14">
      <c r="A471" s="7" t="s">
        <v>811</v>
      </c>
      <c r="B471" s="8" t="s">
        <v>812</v>
      </c>
      <c r="C471" s="8"/>
      <c r="D471" s="7"/>
      <c r="E471" s="12"/>
      <c r="F471" s="7"/>
      <c r="G471" s="7"/>
      <c r="J471" s="7"/>
      <c r="K471" s="7"/>
      <c r="L471" s="7"/>
      <c r="M471" s="7"/>
      <c r="N471" s="17"/>
    </row>
    <row r="472" ht="17.25" customHeight="1" spans="1:14">
      <c r="A472" s="7"/>
      <c r="B472" s="7" t="s">
        <v>813</v>
      </c>
      <c r="C472" s="7" t="s">
        <v>814</v>
      </c>
      <c r="D472" s="7" t="s">
        <v>815</v>
      </c>
      <c r="E472" s="12">
        <v>1</v>
      </c>
      <c r="F472" s="13">
        <v>0.062341125</v>
      </c>
      <c r="G472" s="7">
        <v>187.77</v>
      </c>
      <c r="H472" s="7">
        <v>92.55</v>
      </c>
      <c r="I472" s="7">
        <v>116.56</v>
      </c>
      <c r="J472" s="7">
        <v>8.4</v>
      </c>
      <c r="K472" s="7">
        <v>5.5</v>
      </c>
      <c r="L472" s="7" t="s">
        <v>741</v>
      </c>
      <c r="M472" s="7" t="s">
        <v>742</v>
      </c>
      <c r="N472" s="17" t="s">
        <v>743</v>
      </c>
    </row>
    <row r="473" ht="17.25" customHeight="1" spans="1:14">
      <c r="A473" s="7"/>
      <c r="B473" s="7" t="s">
        <v>680</v>
      </c>
      <c r="C473" s="7" t="s">
        <v>681</v>
      </c>
      <c r="D473" s="7" t="s">
        <v>682</v>
      </c>
      <c r="E473" s="12">
        <v>2</v>
      </c>
      <c r="F473" s="13">
        <v>0.00795212</v>
      </c>
      <c r="G473" s="7">
        <v>5</v>
      </c>
      <c r="H473" s="7">
        <v>2</v>
      </c>
      <c r="I473" s="7">
        <v>3.5</v>
      </c>
      <c r="J473" s="7">
        <v>0.4</v>
      </c>
      <c r="K473" s="7">
        <v>0.1</v>
      </c>
      <c r="L473" s="7" t="s">
        <v>11</v>
      </c>
      <c r="M473" s="7" t="s">
        <v>11</v>
      </c>
      <c r="N473" s="17" t="s">
        <v>273</v>
      </c>
    </row>
    <row r="474" ht="17.25" customHeight="1" spans="1:14">
      <c r="A474" s="7"/>
      <c r="B474" s="7" t="s">
        <v>687</v>
      </c>
      <c r="C474" s="7" t="s">
        <v>688</v>
      </c>
      <c r="D474" s="7" t="s">
        <v>689</v>
      </c>
      <c r="E474" s="12">
        <v>2</v>
      </c>
      <c r="F474" s="13">
        <v>0.0058007</v>
      </c>
      <c r="G474" s="7"/>
      <c r="H474" s="7"/>
      <c r="I474" s="7"/>
      <c r="J474" s="7">
        <v>1.2</v>
      </c>
      <c r="K474" s="7">
        <v>0.6</v>
      </c>
      <c r="L474" s="7" t="s">
        <v>11</v>
      </c>
      <c r="M474" s="7" t="s">
        <v>11</v>
      </c>
      <c r="N474" s="17" t="s">
        <v>580</v>
      </c>
    </row>
    <row r="475" ht="17.25" customHeight="1" spans="1:14">
      <c r="A475" s="7"/>
      <c r="B475" s="7" t="s">
        <v>581</v>
      </c>
      <c r="C475" s="7" t="s">
        <v>582</v>
      </c>
      <c r="D475" s="7" t="s">
        <v>583</v>
      </c>
      <c r="E475" s="12">
        <v>3</v>
      </c>
      <c r="F475" s="13">
        <v>0.00092796</v>
      </c>
      <c r="G475" s="7">
        <v>10</v>
      </c>
      <c r="H475" s="7">
        <v>1</v>
      </c>
      <c r="I475" s="7">
        <v>3</v>
      </c>
      <c r="J475" s="7">
        <v>0.2</v>
      </c>
      <c r="K475" s="7">
        <v>0.15</v>
      </c>
      <c r="L475" s="7" t="s">
        <v>11</v>
      </c>
      <c r="M475" s="7" t="s">
        <v>11</v>
      </c>
      <c r="N475" s="17" t="s">
        <v>584</v>
      </c>
    </row>
    <row r="476" ht="17.25" customHeight="1" spans="1:14">
      <c r="A476" s="7"/>
      <c r="B476" s="7" t="s">
        <v>816</v>
      </c>
      <c r="C476" s="7" t="s">
        <v>817</v>
      </c>
      <c r="D476" s="7" t="s">
        <v>818</v>
      </c>
      <c r="E476" s="12">
        <v>1</v>
      </c>
      <c r="F476" s="13">
        <v>0.00033</v>
      </c>
      <c r="G476" s="7"/>
      <c r="H476" s="7"/>
      <c r="I476" s="7"/>
      <c r="J476" s="7">
        <v>0</v>
      </c>
      <c r="K476" s="7">
        <v>0</v>
      </c>
      <c r="L476" s="7" t="s">
        <v>11</v>
      </c>
      <c r="M476" s="7" t="s">
        <v>11</v>
      </c>
      <c r="N476" s="17" t="s">
        <v>354</v>
      </c>
    </row>
    <row r="477" ht="17.25" customHeight="1" spans="1:14">
      <c r="A477" s="7"/>
      <c r="B477" s="7" t="s">
        <v>819</v>
      </c>
      <c r="C477" s="7" t="s">
        <v>820</v>
      </c>
      <c r="D477" s="7" t="s">
        <v>821</v>
      </c>
      <c r="E477" s="12">
        <v>2</v>
      </c>
      <c r="F477" s="13">
        <v>0.00033</v>
      </c>
      <c r="G477" s="7"/>
      <c r="H477" s="7"/>
      <c r="I477" s="7"/>
      <c r="J477" s="7">
        <v>0</v>
      </c>
      <c r="K477" s="7">
        <v>0</v>
      </c>
      <c r="L477" s="7" t="s">
        <v>11</v>
      </c>
      <c r="M477" s="7" t="s">
        <v>11</v>
      </c>
      <c r="N477" s="17" t="s">
        <v>354</v>
      </c>
    </row>
    <row r="478" ht="17.25" customHeight="1" spans="1:14">
      <c r="A478" s="9"/>
      <c r="B478" s="9" t="s">
        <v>812</v>
      </c>
      <c r="C478" s="9"/>
      <c r="D478" s="10" t="s">
        <v>120</v>
      </c>
      <c r="E478" s="14">
        <v>1</v>
      </c>
      <c r="F478" s="9">
        <f>SUMPRODUCT(F472:F477*E472:E477)</f>
        <v>0.093620645</v>
      </c>
      <c r="G478" s="10" t="s">
        <v>822</v>
      </c>
      <c r="H478" s="10" t="s">
        <v>823</v>
      </c>
      <c r="I478" s="10" t="s">
        <v>824</v>
      </c>
      <c r="J478" s="9">
        <f>SUMPRODUCT(J472:J477*E472:E477)</f>
        <v>12.2</v>
      </c>
      <c r="K478" s="9">
        <f>SUMPRODUCT(K472:K477*E472:E477)</f>
        <v>7.35</v>
      </c>
      <c r="L478" s="9"/>
      <c r="M478" s="9"/>
      <c r="N478" s="18"/>
    </row>
    <row r="479" ht="17.25" customHeight="1" spans="1:14">
      <c r="A479" s="9"/>
      <c r="B479" s="9" t="s">
        <v>122</v>
      </c>
      <c r="C479" s="9" t="s">
        <v>812</v>
      </c>
      <c r="D479" s="10" t="s">
        <v>17</v>
      </c>
      <c r="E479" s="14">
        <v>2</v>
      </c>
      <c r="F479" s="9">
        <f>E479*SUMPRODUCT(F472:F477*E472:E477)</f>
        <v>0.18724129</v>
      </c>
      <c r="G479" s="10">
        <v>455.54</v>
      </c>
      <c r="H479" s="10">
        <v>199.1</v>
      </c>
      <c r="I479" s="10">
        <v>265.12</v>
      </c>
      <c r="J479" s="9">
        <f>E479*SUMPRODUCT(J472:J477*E472:E477)</f>
        <v>24.4</v>
      </c>
      <c r="K479" s="9">
        <f>E479*SUMPRODUCT(K472:K477*E472:E477)</f>
        <v>14.7</v>
      </c>
      <c r="L479" s="9"/>
      <c r="M479" s="9"/>
      <c r="N479" s="18"/>
    </row>
    <row r="480" ht="17.25" customHeight="1" spans="1:14">
      <c r="A480" s="9"/>
      <c r="B480" s="9" t="s">
        <v>123</v>
      </c>
      <c r="C480" s="9" t="s">
        <v>810</v>
      </c>
      <c r="D480" s="9"/>
      <c r="E480" s="14"/>
      <c r="F480" s="9"/>
      <c r="G480" s="9">
        <f>G479</f>
        <v>455.54</v>
      </c>
      <c r="H480" s="9">
        <f>H479</f>
        <v>199.1</v>
      </c>
      <c r="I480" s="9">
        <f>I479</f>
        <v>265.12</v>
      </c>
      <c r="J480" s="9">
        <f>J479</f>
        <v>24.4</v>
      </c>
      <c r="K480" s="9">
        <f>K479</f>
        <v>14.7</v>
      </c>
      <c r="L480" s="9"/>
      <c r="M480" s="9"/>
      <c r="N480" s="19"/>
    </row>
    <row r="481" ht="23" customHeight="1" spans="1:14">
      <c r="A481" s="6" t="s">
        <v>825</v>
      </c>
      <c r="B481" s="6" t="s">
        <v>826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16"/>
    </row>
    <row r="482" ht="17.25" customHeight="1" spans="1:14">
      <c r="A482" s="7" t="s">
        <v>827</v>
      </c>
      <c r="B482" s="8" t="s">
        <v>828</v>
      </c>
      <c r="C482" s="8"/>
      <c r="D482" s="7"/>
      <c r="E482" s="12"/>
      <c r="F482" s="7"/>
      <c r="G482" s="7"/>
      <c r="J482" s="7"/>
      <c r="K482" s="7"/>
      <c r="L482" s="7"/>
      <c r="M482" s="7"/>
      <c r="N482" s="17"/>
    </row>
    <row r="483" ht="17.25" customHeight="1" spans="1:14">
      <c r="A483" s="7"/>
      <c r="B483" s="7" t="s">
        <v>829</v>
      </c>
      <c r="C483" s="7" t="s">
        <v>830</v>
      </c>
      <c r="D483" s="7" t="s">
        <v>831</v>
      </c>
      <c r="E483" s="12">
        <v>1</v>
      </c>
      <c r="F483" s="13">
        <v>0.00033</v>
      </c>
      <c r="G483" s="7">
        <v>131.6</v>
      </c>
      <c r="H483" s="7">
        <v>101.7</v>
      </c>
      <c r="I483" s="7">
        <v>105.3</v>
      </c>
      <c r="J483" s="7">
        <v>0</v>
      </c>
      <c r="K483" s="7">
        <v>0</v>
      </c>
      <c r="L483" s="7" t="s">
        <v>700</v>
      </c>
      <c r="M483" s="7" t="s">
        <v>701</v>
      </c>
      <c r="N483" s="17" t="s">
        <v>702</v>
      </c>
    </row>
    <row r="484" ht="17.25" customHeight="1" spans="1:14">
      <c r="A484" s="7"/>
      <c r="B484" s="7" t="s">
        <v>707</v>
      </c>
      <c r="C484" s="7" t="s">
        <v>708</v>
      </c>
      <c r="D484" s="7" t="s">
        <v>709</v>
      </c>
      <c r="E484" s="12">
        <v>1</v>
      </c>
      <c r="F484" s="13">
        <v>0.00264</v>
      </c>
      <c r="G484" s="20"/>
      <c r="H484" s="20"/>
      <c r="I484" s="20"/>
      <c r="J484" s="7">
        <v>0.55</v>
      </c>
      <c r="K484" s="7">
        <v>0.5</v>
      </c>
      <c r="L484" s="7" t="s">
        <v>11</v>
      </c>
      <c r="M484" s="7" t="s">
        <v>11</v>
      </c>
      <c r="N484" s="17" t="s">
        <v>710</v>
      </c>
    </row>
    <row r="485" ht="17.25" customHeight="1" spans="1:14">
      <c r="A485" s="7"/>
      <c r="B485" s="7" t="s">
        <v>832</v>
      </c>
      <c r="C485" s="7" t="s">
        <v>833</v>
      </c>
      <c r="D485" s="7" t="s">
        <v>834</v>
      </c>
      <c r="E485" s="12">
        <v>4</v>
      </c>
      <c r="F485" s="13">
        <v>0.00033</v>
      </c>
      <c r="G485" s="7"/>
      <c r="H485" s="7"/>
      <c r="I485" s="7"/>
      <c r="J485" s="7">
        <v>0</v>
      </c>
      <c r="K485" s="7">
        <v>0</v>
      </c>
      <c r="L485" s="7" t="s">
        <v>11</v>
      </c>
      <c r="M485" s="7" t="s">
        <v>11</v>
      </c>
      <c r="N485" s="17" t="s">
        <v>354</v>
      </c>
    </row>
    <row r="486" ht="17.25" customHeight="1" spans="1:14">
      <c r="A486" s="7"/>
      <c r="B486" s="7" t="s">
        <v>835</v>
      </c>
      <c r="C486" s="7" t="s">
        <v>836</v>
      </c>
      <c r="D486" s="7" t="s">
        <v>837</v>
      </c>
      <c r="E486" s="12">
        <v>1</v>
      </c>
      <c r="F486" s="13">
        <v>0.00033</v>
      </c>
      <c r="G486" s="7"/>
      <c r="H486" s="7"/>
      <c r="I486" s="7"/>
      <c r="J486" s="7">
        <v>0</v>
      </c>
      <c r="K486" s="7">
        <v>0</v>
      </c>
      <c r="L486" s="7" t="s">
        <v>11</v>
      </c>
      <c r="M486" s="7" t="s">
        <v>11</v>
      </c>
      <c r="N486" s="17" t="s">
        <v>354</v>
      </c>
    </row>
    <row r="487" ht="17.25" customHeight="1" spans="1:14">
      <c r="A487" s="7"/>
      <c r="B487" s="7" t="s">
        <v>838</v>
      </c>
      <c r="C487" s="7" t="s">
        <v>839</v>
      </c>
      <c r="D487" s="7" t="s">
        <v>840</v>
      </c>
      <c r="E487" s="12">
        <v>1</v>
      </c>
      <c r="F487" s="13">
        <v>0.00033</v>
      </c>
      <c r="G487" s="7"/>
      <c r="H487" s="7"/>
      <c r="I487" s="7"/>
      <c r="J487" s="7">
        <v>0</v>
      </c>
      <c r="K487" s="7">
        <v>0</v>
      </c>
      <c r="L487" s="7" t="s">
        <v>11</v>
      </c>
      <c r="M487" s="7" t="s">
        <v>11</v>
      </c>
      <c r="N487" s="17" t="s">
        <v>354</v>
      </c>
    </row>
    <row r="488" ht="17.25" customHeight="1" spans="1:14">
      <c r="A488" s="7"/>
      <c r="B488" s="7" t="s">
        <v>841</v>
      </c>
      <c r="C488" s="7" t="s">
        <v>842</v>
      </c>
      <c r="D488" s="7" t="s">
        <v>843</v>
      </c>
      <c r="E488" s="12">
        <v>1</v>
      </c>
      <c r="F488" s="13">
        <v>0.00033</v>
      </c>
      <c r="G488" s="7"/>
      <c r="H488" s="7"/>
      <c r="I488" s="7"/>
      <c r="J488" s="7">
        <v>0</v>
      </c>
      <c r="K488" s="7">
        <v>0</v>
      </c>
      <c r="L488" s="7" t="s">
        <v>11</v>
      </c>
      <c r="M488" s="7" t="s">
        <v>11</v>
      </c>
      <c r="N488" s="17" t="s">
        <v>354</v>
      </c>
    </row>
    <row r="489" ht="17.25" customHeight="1" spans="1:14">
      <c r="A489" s="9"/>
      <c r="B489" s="9" t="s">
        <v>828</v>
      </c>
      <c r="C489" s="9"/>
      <c r="D489" s="10" t="s">
        <v>120</v>
      </c>
      <c r="E489" s="14">
        <v>1</v>
      </c>
      <c r="F489" s="9">
        <f>SUMPRODUCT(F483:F488*E483:E488)</f>
        <v>0.00528</v>
      </c>
      <c r="G489" s="10" t="s">
        <v>844</v>
      </c>
      <c r="H489" s="10" t="s">
        <v>845</v>
      </c>
      <c r="I489" s="10" t="s">
        <v>846</v>
      </c>
      <c r="J489" s="9">
        <f>SUMPRODUCT(J483:J488*E483:E488)</f>
        <v>0.55</v>
      </c>
      <c r="K489" s="9">
        <f>SUMPRODUCT(K483:K488*E483:E488)</f>
        <v>0.5</v>
      </c>
      <c r="L489" s="9"/>
      <c r="M489" s="9"/>
      <c r="N489" s="18"/>
    </row>
    <row r="490" ht="17.25" customHeight="1" spans="1:14">
      <c r="A490" s="9"/>
      <c r="B490" s="9" t="s">
        <v>122</v>
      </c>
      <c r="C490" s="9" t="s">
        <v>828</v>
      </c>
      <c r="D490" s="10" t="s">
        <v>17</v>
      </c>
      <c r="E490" s="14">
        <v>1</v>
      </c>
      <c r="F490" s="9">
        <f>E490*SUMPRODUCT(F483:F488*E483:E488)</f>
        <v>0.00528</v>
      </c>
      <c r="G490" s="10">
        <v>131.6</v>
      </c>
      <c r="H490" s="10">
        <v>101.7</v>
      </c>
      <c r="I490" s="10">
        <v>105.3</v>
      </c>
      <c r="J490" s="9">
        <f>E490*SUMPRODUCT(J483:J488*E483:E488)</f>
        <v>0.55</v>
      </c>
      <c r="K490" s="9">
        <f>E490*SUMPRODUCT(K483:K488*E483:E488)</f>
        <v>0.5</v>
      </c>
      <c r="L490" s="9"/>
      <c r="M490" s="9"/>
      <c r="N490" s="18"/>
    </row>
    <row r="491" ht="17.25" customHeight="1" spans="1:14">
      <c r="A491" s="9"/>
      <c r="B491" s="9" t="s">
        <v>123</v>
      </c>
      <c r="C491" s="9" t="s">
        <v>826</v>
      </c>
      <c r="D491" s="9"/>
      <c r="E491" s="14"/>
      <c r="F491" s="9"/>
      <c r="G491" s="9">
        <f>G490</f>
        <v>131.6</v>
      </c>
      <c r="H491" s="9">
        <f>H490</f>
        <v>101.7</v>
      </c>
      <c r="I491" s="9">
        <f>I490</f>
        <v>105.3</v>
      </c>
      <c r="J491" s="9">
        <f>J490</f>
        <v>0.55</v>
      </c>
      <c r="K491" s="9">
        <f>K490</f>
        <v>0.5</v>
      </c>
      <c r="L491" s="9"/>
      <c r="M491" s="9"/>
      <c r="N491" s="19"/>
    </row>
    <row r="492" ht="23" customHeight="1" spans="1:14">
      <c r="A492" s="6" t="s">
        <v>847</v>
      </c>
      <c r="B492" s="6" t="s">
        <v>848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16"/>
    </row>
    <row r="493" ht="17.25" customHeight="1" spans="1:14">
      <c r="A493" s="7" t="s">
        <v>849</v>
      </c>
      <c r="B493" s="8" t="s">
        <v>850</v>
      </c>
      <c r="C493" s="8"/>
      <c r="D493" s="7"/>
      <c r="E493" s="12"/>
      <c r="F493" s="7"/>
      <c r="G493" s="7"/>
      <c r="J493" s="7"/>
      <c r="K493" s="7"/>
      <c r="L493" s="7"/>
      <c r="M493" s="7"/>
      <c r="N493" s="17"/>
    </row>
    <row r="494" ht="17.25" customHeight="1" spans="1:14">
      <c r="A494" s="7"/>
      <c r="B494" s="7" t="s">
        <v>851</v>
      </c>
      <c r="C494" s="7" t="s">
        <v>852</v>
      </c>
      <c r="D494" s="7" t="s">
        <v>853</v>
      </c>
      <c r="E494" s="12">
        <v>1</v>
      </c>
      <c r="F494" s="13">
        <v>0.15348792</v>
      </c>
      <c r="G494" s="20"/>
      <c r="H494" s="20"/>
      <c r="I494" s="20"/>
      <c r="J494" s="7">
        <v>30.54</v>
      </c>
      <c r="K494" s="7">
        <v>0</v>
      </c>
      <c r="L494" s="7" t="s">
        <v>724</v>
      </c>
      <c r="M494" s="7" t="s">
        <v>725</v>
      </c>
      <c r="N494" s="17" t="s">
        <v>854</v>
      </c>
    </row>
    <row r="495" ht="17.25" customHeight="1" spans="1:14">
      <c r="A495" s="7"/>
      <c r="B495" s="7" t="s">
        <v>855</v>
      </c>
      <c r="C495" s="7" t="s">
        <v>856</v>
      </c>
      <c r="D495" s="7" t="s">
        <v>857</v>
      </c>
      <c r="E495" s="12">
        <v>1</v>
      </c>
      <c r="F495" s="13">
        <v>0.00033</v>
      </c>
      <c r="G495" s="7"/>
      <c r="H495" s="7"/>
      <c r="I495" s="7"/>
      <c r="J495" s="7">
        <v>0</v>
      </c>
      <c r="K495" s="7">
        <v>0</v>
      </c>
      <c r="L495" s="7" t="s">
        <v>40</v>
      </c>
      <c r="M495" s="7" t="s">
        <v>40</v>
      </c>
      <c r="N495" s="17" t="s">
        <v>354</v>
      </c>
    </row>
    <row r="496" ht="17.25" customHeight="1" spans="1:14">
      <c r="A496" s="7"/>
      <c r="B496" s="7" t="s">
        <v>858</v>
      </c>
      <c r="C496" s="7" t="s">
        <v>859</v>
      </c>
      <c r="D496" s="7" t="s">
        <v>860</v>
      </c>
      <c r="E496" s="12">
        <v>4</v>
      </c>
      <c r="F496" s="13">
        <v>0.00033</v>
      </c>
      <c r="G496" s="7"/>
      <c r="H496" s="7"/>
      <c r="I496" s="7"/>
      <c r="J496" s="7">
        <v>0</v>
      </c>
      <c r="K496" s="7">
        <v>0</v>
      </c>
      <c r="L496" s="7" t="s">
        <v>40</v>
      </c>
      <c r="M496" s="7" t="s">
        <v>40</v>
      </c>
      <c r="N496" s="17" t="s">
        <v>354</v>
      </c>
    </row>
    <row r="497" ht="17.25" customHeight="1" spans="1:14">
      <c r="A497" s="7"/>
      <c r="B497" s="7" t="s">
        <v>861</v>
      </c>
      <c r="C497" s="7" t="s">
        <v>862</v>
      </c>
      <c r="D497" s="7" t="s">
        <v>863</v>
      </c>
      <c r="E497" s="12">
        <v>1</v>
      </c>
      <c r="F497" s="13">
        <v>0.00033</v>
      </c>
      <c r="G497" s="7"/>
      <c r="H497" s="7"/>
      <c r="I497" s="7"/>
      <c r="J497" s="7">
        <v>0</v>
      </c>
      <c r="K497" s="7">
        <v>0</v>
      </c>
      <c r="L497" s="7" t="s">
        <v>40</v>
      </c>
      <c r="M497" s="7" t="s">
        <v>40</v>
      </c>
      <c r="N497" s="17" t="s">
        <v>354</v>
      </c>
    </row>
    <row r="498" ht="17.25" customHeight="1" spans="1:14">
      <c r="A498" s="7"/>
      <c r="B498" s="7" t="s">
        <v>864</v>
      </c>
      <c r="C498" s="7" t="s">
        <v>865</v>
      </c>
      <c r="D498" s="7" t="s">
        <v>866</v>
      </c>
      <c r="E498" s="12">
        <v>1</v>
      </c>
      <c r="F498" s="13">
        <v>0.00385605</v>
      </c>
      <c r="G498" s="7">
        <v>9.74</v>
      </c>
      <c r="H498" s="7">
        <v>8.76</v>
      </c>
      <c r="I498" s="7">
        <v>9.25</v>
      </c>
      <c r="J498" s="7">
        <v>0.3</v>
      </c>
      <c r="K498" s="7">
        <v>0.15</v>
      </c>
      <c r="L498" s="7" t="s">
        <v>11</v>
      </c>
      <c r="M498" s="7" t="s">
        <v>40</v>
      </c>
      <c r="N498" s="17" t="s">
        <v>146</v>
      </c>
    </row>
    <row r="499" ht="17.25" customHeight="1" spans="1:14">
      <c r="A499" s="7"/>
      <c r="B499" s="7" t="s">
        <v>867</v>
      </c>
      <c r="C499" s="7" t="s">
        <v>868</v>
      </c>
      <c r="D499" s="7" t="s">
        <v>869</v>
      </c>
      <c r="E499" s="12">
        <v>1</v>
      </c>
      <c r="F499" s="7"/>
      <c r="G499" s="7"/>
      <c r="H499" s="7"/>
      <c r="I499" s="7"/>
      <c r="J499" s="7"/>
      <c r="K499" s="7"/>
      <c r="L499" s="7"/>
      <c r="M499" s="7"/>
      <c r="N499" s="17"/>
    </row>
    <row r="500" ht="17.25" customHeight="1" spans="1:14">
      <c r="A500" s="9"/>
      <c r="B500" s="9" t="s">
        <v>850</v>
      </c>
      <c r="C500" s="9"/>
      <c r="D500" s="10" t="s">
        <v>120</v>
      </c>
      <c r="E500" s="14">
        <v>1</v>
      </c>
      <c r="F500" s="9">
        <f>SUMPRODUCT(F494:F499*E494:E499)</f>
        <v>0.15932397</v>
      </c>
      <c r="G500" s="10" t="s">
        <v>121</v>
      </c>
      <c r="H500" s="10" t="s">
        <v>121</v>
      </c>
      <c r="I500" s="10" t="s">
        <v>121</v>
      </c>
      <c r="J500" s="9">
        <f>SUMPRODUCT(J494:J499*E494:E499)</f>
        <v>30.84</v>
      </c>
      <c r="K500" s="9">
        <f>SUMPRODUCT(K494:K499*E494:E499)</f>
        <v>0.15</v>
      </c>
      <c r="L500" s="9"/>
      <c r="M500" s="9"/>
      <c r="N500" s="18"/>
    </row>
    <row r="501" ht="17.25" customHeight="1" spans="1:14">
      <c r="A501" s="9"/>
      <c r="B501" s="9" t="s">
        <v>122</v>
      </c>
      <c r="C501" s="9" t="s">
        <v>850</v>
      </c>
      <c r="D501" s="10" t="s">
        <v>17</v>
      </c>
      <c r="E501" s="14">
        <v>1</v>
      </c>
      <c r="F501" s="9">
        <f>E501*SUMPRODUCT(F494:F499*E494:E499)</f>
        <v>0.15932397</v>
      </c>
      <c r="G501" s="10">
        <v>0</v>
      </c>
      <c r="H501" s="10">
        <v>0</v>
      </c>
      <c r="I501" s="10">
        <v>0</v>
      </c>
      <c r="J501" s="9">
        <f>E501*SUMPRODUCT(J494:J499*E494:E499)</f>
        <v>30.84</v>
      </c>
      <c r="K501" s="9">
        <f>E501*SUMPRODUCT(K494:K499*E494:E499)</f>
        <v>0.15</v>
      </c>
      <c r="L501" s="9"/>
      <c r="M501" s="9"/>
      <c r="N501" s="18"/>
    </row>
    <row r="502" ht="17.25" customHeight="1" spans="1:14">
      <c r="A502" s="7" t="s">
        <v>870</v>
      </c>
      <c r="B502" s="8" t="s">
        <v>871</v>
      </c>
      <c r="C502" s="8"/>
      <c r="D502" s="7"/>
      <c r="E502" s="12"/>
      <c r="F502" s="7"/>
      <c r="G502" s="7"/>
      <c r="J502" s="7"/>
      <c r="K502" s="7"/>
      <c r="L502" s="7"/>
      <c r="M502" s="7"/>
      <c r="N502" s="17"/>
    </row>
    <row r="503" ht="17.25" customHeight="1" spans="1:14">
      <c r="A503" s="7"/>
      <c r="B503" s="7" t="s">
        <v>872</v>
      </c>
      <c r="C503" s="7" t="s">
        <v>873</v>
      </c>
      <c r="D503" s="7" t="s">
        <v>874</v>
      </c>
      <c r="E503" s="12">
        <v>1</v>
      </c>
      <c r="F503" s="13">
        <v>0.116123535</v>
      </c>
      <c r="G503" s="7">
        <v>195.02</v>
      </c>
      <c r="H503" s="7">
        <v>55.04</v>
      </c>
      <c r="I503" s="7">
        <v>98.53</v>
      </c>
      <c r="J503" s="7">
        <v>13.9</v>
      </c>
      <c r="K503" s="7">
        <v>9.3</v>
      </c>
      <c r="L503" s="7" t="s">
        <v>760</v>
      </c>
      <c r="M503" s="7" t="s">
        <v>761</v>
      </c>
      <c r="N503" s="17" t="s">
        <v>875</v>
      </c>
    </row>
    <row r="504" ht="17.25" customHeight="1" spans="1:14">
      <c r="A504" s="7"/>
      <c r="B504" s="7" t="s">
        <v>687</v>
      </c>
      <c r="C504" s="7" t="s">
        <v>688</v>
      </c>
      <c r="D504" s="7" t="s">
        <v>689</v>
      </c>
      <c r="E504" s="12">
        <v>1</v>
      </c>
      <c r="F504" s="13">
        <v>0.0058007</v>
      </c>
      <c r="G504" s="7"/>
      <c r="H504" s="7"/>
      <c r="I504" s="7"/>
      <c r="J504" s="7">
        <v>1.2</v>
      </c>
      <c r="K504" s="7">
        <v>0.6</v>
      </c>
      <c r="L504" s="7" t="s">
        <v>11</v>
      </c>
      <c r="M504" s="7" t="s">
        <v>11</v>
      </c>
      <c r="N504" s="17" t="s">
        <v>580</v>
      </c>
    </row>
    <row r="505" ht="17.25" customHeight="1" spans="1:14">
      <c r="A505" s="7"/>
      <c r="B505" s="7" t="s">
        <v>876</v>
      </c>
      <c r="C505" s="7" t="s">
        <v>877</v>
      </c>
      <c r="D505" s="7" t="s">
        <v>878</v>
      </c>
      <c r="E505" s="12">
        <v>4</v>
      </c>
      <c r="F505" s="13">
        <v>0.00033</v>
      </c>
      <c r="G505" s="7"/>
      <c r="H505" s="7"/>
      <c r="I505" s="7"/>
      <c r="J505" s="7">
        <v>0</v>
      </c>
      <c r="K505" s="7">
        <v>0</v>
      </c>
      <c r="L505" s="7" t="s">
        <v>40</v>
      </c>
      <c r="M505" s="7" t="s">
        <v>40</v>
      </c>
      <c r="N505" s="17" t="s">
        <v>354</v>
      </c>
    </row>
    <row r="506" ht="17.25" customHeight="1" spans="1:14">
      <c r="A506" s="9"/>
      <c r="B506" s="9" t="s">
        <v>871</v>
      </c>
      <c r="C506" s="9"/>
      <c r="D506" s="10" t="s">
        <v>120</v>
      </c>
      <c r="E506" s="14">
        <v>1</v>
      </c>
      <c r="F506" s="9">
        <f>SUMPRODUCT(F503:F505*E503:E505)</f>
        <v>0.123244235</v>
      </c>
      <c r="G506" s="10" t="s">
        <v>879</v>
      </c>
      <c r="H506" s="10" t="s">
        <v>880</v>
      </c>
      <c r="I506" s="10" t="s">
        <v>881</v>
      </c>
      <c r="J506" s="9">
        <f>SUMPRODUCT(J503:J505*E503:E505)</f>
        <v>15.1</v>
      </c>
      <c r="K506" s="9">
        <f>SUMPRODUCT(K503:K505*E503:E505)</f>
        <v>9.9</v>
      </c>
      <c r="L506" s="9"/>
      <c r="M506" s="9"/>
      <c r="N506" s="18"/>
    </row>
    <row r="507" ht="17.25" customHeight="1" spans="1:14">
      <c r="A507" s="9"/>
      <c r="B507" s="9" t="s">
        <v>122</v>
      </c>
      <c r="C507" s="9" t="s">
        <v>871</v>
      </c>
      <c r="D507" s="10" t="s">
        <v>17</v>
      </c>
      <c r="E507" s="14">
        <v>1</v>
      </c>
      <c r="F507" s="9">
        <f>E507*SUMPRODUCT(F503:F505*E503:E505)</f>
        <v>0.123244235</v>
      </c>
      <c r="G507" s="10">
        <v>195.02</v>
      </c>
      <c r="H507" s="10">
        <v>55.04</v>
      </c>
      <c r="I507" s="10">
        <v>98.53</v>
      </c>
      <c r="J507" s="9">
        <f>E507*SUMPRODUCT(J503:J505*E503:E505)</f>
        <v>15.1</v>
      </c>
      <c r="K507" s="9">
        <f>E507*SUMPRODUCT(K503:K505*E503:E505)</f>
        <v>9.9</v>
      </c>
      <c r="L507" s="9"/>
      <c r="M507" s="9"/>
      <c r="N507" s="18"/>
    </row>
    <row r="508" ht="17.25" customHeight="1" spans="1:14">
      <c r="A508" s="9"/>
      <c r="B508" s="9" t="s">
        <v>123</v>
      </c>
      <c r="C508" s="9" t="s">
        <v>848</v>
      </c>
      <c r="D508" s="9"/>
      <c r="E508" s="14"/>
      <c r="F508" s="9"/>
      <c r="G508" s="9">
        <f>G501+G507</f>
        <v>195.02</v>
      </c>
      <c r="H508" s="9">
        <f>H501+H507</f>
        <v>55.04</v>
      </c>
      <c r="I508" s="9">
        <f>I501+I507</f>
        <v>98.53</v>
      </c>
      <c r="J508" s="9">
        <f>J501+J507</f>
        <v>45.94</v>
      </c>
      <c r="K508" s="9">
        <f>K501+K507</f>
        <v>10.05</v>
      </c>
      <c r="L508" s="9"/>
      <c r="M508" s="9"/>
      <c r="N508" s="19"/>
    </row>
    <row r="509" ht="23" customHeight="1" spans="1:14">
      <c r="A509" s="6" t="s">
        <v>882</v>
      </c>
      <c r="B509" s="6" t="s">
        <v>883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16"/>
    </row>
    <row r="510" ht="17.25" customHeight="1" spans="1:14">
      <c r="A510" s="7" t="s">
        <v>884</v>
      </c>
      <c r="B510" s="8" t="s">
        <v>885</v>
      </c>
      <c r="C510" s="8"/>
      <c r="D510" s="7"/>
      <c r="E510" s="12"/>
      <c r="F510" s="7"/>
      <c r="G510" s="7"/>
      <c r="J510" s="7"/>
      <c r="K510" s="7"/>
      <c r="L510" s="7"/>
      <c r="M510" s="7"/>
      <c r="N510" s="17"/>
    </row>
    <row r="511" ht="17.25" customHeight="1" spans="1:14">
      <c r="A511" s="7"/>
      <c r="B511" s="7" t="s">
        <v>886</v>
      </c>
      <c r="C511" s="7" t="s">
        <v>887</v>
      </c>
      <c r="D511" s="7" t="s">
        <v>888</v>
      </c>
      <c r="E511" s="12">
        <v>1</v>
      </c>
      <c r="F511" s="13">
        <v>0.00033</v>
      </c>
      <c r="G511" s="7">
        <v>131.6</v>
      </c>
      <c r="H511" s="7">
        <v>101.7</v>
      </c>
      <c r="I511" s="7">
        <v>105.3</v>
      </c>
      <c r="J511" s="7">
        <v>0</v>
      </c>
      <c r="K511" s="7">
        <v>0</v>
      </c>
      <c r="L511" s="7" t="s">
        <v>700</v>
      </c>
      <c r="M511" s="7" t="s">
        <v>701</v>
      </c>
      <c r="N511" s="17" t="s">
        <v>702</v>
      </c>
    </row>
    <row r="512" ht="17.25" customHeight="1" spans="1:14">
      <c r="A512" s="7"/>
      <c r="B512" s="7" t="s">
        <v>707</v>
      </c>
      <c r="C512" s="7" t="s">
        <v>708</v>
      </c>
      <c r="D512" s="7" t="s">
        <v>709</v>
      </c>
      <c r="E512" s="12">
        <v>1</v>
      </c>
      <c r="F512" s="13">
        <v>0.00264</v>
      </c>
      <c r="G512" s="20"/>
      <c r="H512" s="20"/>
      <c r="I512" s="20"/>
      <c r="J512" s="7">
        <v>0.55</v>
      </c>
      <c r="K512" s="7">
        <v>0.5</v>
      </c>
      <c r="L512" s="7" t="s">
        <v>11</v>
      </c>
      <c r="M512" s="7" t="s">
        <v>11</v>
      </c>
      <c r="N512" s="17" t="s">
        <v>710</v>
      </c>
    </row>
    <row r="513" ht="17.25" customHeight="1" spans="1:14">
      <c r="A513" s="7"/>
      <c r="B513" s="7" t="s">
        <v>889</v>
      </c>
      <c r="C513" s="7" t="s">
        <v>890</v>
      </c>
      <c r="D513" s="7" t="s">
        <v>891</v>
      </c>
      <c r="E513" s="12">
        <v>4</v>
      </c>
      <c r="F513" s="13">
        <v>0.00033</v>
      </c>
      <c r="G513" s="7"/>
      <c r="H513" s="7"/>
      <c r="I513" s="7"/>
      <c r="J513" s="7">
        <v>0</v>
      </c>
      <c r="K513" s="7">
        <v>0</v>
      </c>
      <c r="L513" s="7" t="s">
        <v>11</v>
      </c>
      <c r="M513" s="7" t="s">
        <v>11</v>
      </c>
      <c r="N513" s="17" t="s">
        <v>354</v>
      </c>
    </row>
    <row r="514" ht="17.25" customHeight="1" spans="1:14">
      <c r="A514" s="9"/>
      <c r="B514" s="9" t="s">
        <v>885</v>
      </c>
      <c r="C514" s="9"/>
      <c r="D514" s="10" t="s">
        <v>120</v>
      </c>
      <c r="E514" s="14">
        <v>1</v>
      </c>
      <c r="F514" s="9">
        <f>SUMPRODUCT(F511:F513*E511:E513)</f>
        <v>0.00429</v>
      </c>
      <c r="G514" s="10" t="s">
        <v>844</v>
      </c>
      <c r="H514" s="10" t="s">
        <v>845</v>
      </c>
      <c r="I514" s="10" t="s">
        <v>846</v>
      </c>
      <c r="J514" s="9">
        <f>SUMPRODUCT(J511:J513*E511:E513)</f>
        <v>0.55</v>
      </c>
      <c r="K514" s="9">
        <f>SUMPRODUCT(K511:K513*E511:E513)</f>
        <v>0.5</v>
      </c>
      <c r="L514" s="9"/>
      <c r="M514" s="9"/>
      <c r="N514" s="18"/>
    </row>
    <row r="515" ht="17.25" customHeight="1" spans="1:14">
      <c r="A515" s="9"/>
      <c r="B515" s="9" t="s">
        <v>122</v>
      </c>
      <c r="C515" s="9" t="s">
        <v>885</v>
      </c>
      <c r="D515" s="10" t="s">
        <v>17</v>
      </c>
      <c r="E515" s="14">
        <v>2</v>
      </c>
      <c r="F515" s="9">
        <f>E515*SUMPRODUCT(F511:F513*E511:E513)</f>
        <v>0.00858</v>
      </c>
      <c r="G515" s="10">
        <v>263.2</v>
      </c>
      <c r="H515" s="10">
        <v>203.4</v>
      </c>
      <c r="I515" s="10">
        <v>210.6</v>
      </c>
      <c r="J515" s="9">
        <f>E515*SUMPRODUCT(J511:J513*E511:E513)</f>
        <v>1.1</v>
      </c>
      <c r="K515" s="9">
        <f>E515*SUMPRODUCT(K511:K513*E511:E513)</f>
        <v>1</v>
      </c>
      <c r="L515" s="9"/>
      <c r="M515" s="9"/>
      <c r="N515" s="18"/>
    </row>
    <row r="516" ht="17.25" customHeight="1" spans="1:14">
      <c r="A516" s="9"/>
      <c r="B516" s="9" t="s">
        <v>123</v>
      </c>
      <c r="C516" s="9" t="s">
        <v>883</v>
      </c>
      <c r="D516" s="9"/>
      <c r="E516" s="14"/>
      <c r="F516" s="9"/>
      <c r="G516" s="9">
        <f>G515</f>
        <v>263.2</v>
      </c>
      <c r="H516" s="9">
        <f>H515</f>
        <v>203.4</v>
      </c>
      <c r="I516" s="9">
        <f>I515</f>
        <v>210.6</v>
      </c>
      <c r="J516" s="9">
        <f>J515</f>
        <v>1.1</v>
      </c>
      <c r="K516" s="9">
        <f>K515</f>
        <v>1</v>
      </c>
      <c r="L516" s="9"/>
      <c r="M516" s="9"/>
      <c r="N516" s="19"/>
    </row>
    <row r="517" ht="23" customHeight="1" spans="1:14">
      <c r="A517" s="6" t="s">
        <v>892</v>
      </c>
      <c r="B517" s="6" t="s">
        <v>893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16"/>
    </row>
    <row r="518" ht="17.25" customHeight="1" spans="1:14">
      <c r="A518" s="7" t="s">
        <v>894</v>
      </c>
      <c r="B518" s="8" t="s">
        <v>895</v>
      </c>
      <c r="C518" s="8"/>
      <c r="D518" s="7"/>
      <c r="E518" s="12"/>
      <c r="F518" s="7"/>
      <c r="G518" s="7"/>
      <c r="J518" s="7"/>
      <c r="K518" s="7"/>
      <c r="L518" s="7"/>
      <c r="M518" s="7"/>
      <c r="N518" s="17"/>
    </row>
    <row r="519" ht="17.25" customHeight="1" spans="1:14">
      <c r="A519" s="7"/>
      <c r="B519" s="7" t="s">
        <v>896</v>
      </c>
      <c r="C519" s="7" t="s">
        <v>897</v>
      </c>
      <c r="D519" s="7" t="s">
        <v>898</v>
      </c>
      <c r="E519" s="12">
        <v>1</v>
      </c>
      <c r="F519" s="13">
        <v>0.00033</v>
      </c>
      <c r="G519" s="7">
        <v>131.6</v>
      </c>
      <c r="H519" s="7">
        <v>93.2</v>
      </c>
      <c r="I519" s="7">
        <v>118.4</v>
      </c>
      <c r="J519" s="7">
        <v>0</v>
      </c>
      <c r="K519" s="7">
        <v>0</v>
      </c>
      <c r="L519" s="7" t="s">
        <v>700</v>
      </c>
      <c r="M519" s="7" t="s">
        <v>701</v>
      </c>
      <c r="N519" s="17" t="s">
        <v>702</v>
      </c>
    </row>
    <row r="520" ht="17.25" customHeight="1" spans="1:14">
      <c r="A520" s="7"/>
      <c r="B520" s="7" t="s">
        <v>707</v>
      </c>
      <c r="C520" s="7" t="s">
        <v>708</v>
      </c>
      <c r="D520" s="7" t="s">
        <v>709</v>
      </c>
      <c r="E520" s="12">
        <v>1</v>
      </c>
      <c r="F520" s="13">
        <v>0.00264</v>
      </c>
      <c r="G520" s="20"/>
      <c r="H520" s="20"/>
      <c r="I520" s="20"/>
      <c r="J520" s="7">
        <v>0.55</v>
      </c>
      <c r="K520" s="7">
        <v>0.5</v>
      </c>
      <c r="L520" s="7" t="s">
        <v>11</v>
      </c>
      <c r="M520" s="7" t="s">
        <v>11</v>
      </c>
      <c r="N520" s="17" t="s">
        <v>710</v>
      </c>
    </row>
    <row r="521" ht="17.25" customHeight="1" spans="1:14">
      <c r="A521" s="9"/>
      <c r="B521" s="9" t="s">
        <v>895</v>
      </c>
      <c r="C521" s="9"/>
      <c r="D521" s="10" t="s">
        <v>120</v>
      </c>
      <c r="E521" s="14">
        <v>1</v>
      </c>
      <c r="F521" s="9">
        <f>SUMPRODUCT(F519:F520*E519:E520)</f>
        <v>0.00297</v>
      </c>
      <c r="G521" s="10" t="s">
        <v>844</v>
      </c>
      <c r="H521" s="10" t="s">
        <v>899</v>
      </c>
      <c r="I521" s="10" t="s">
        <v>900</v>
      </c>
      <c r="J521" s="9">
        <f>SUMPRODUCT(J519:J520*E519:E520)</f>
        <v>0.55</v>
      </c>
      <c r="K521" s="9">
        <f>SUMPRODUCT(K519:K520*E519:E520)</f>
        <v>0.5</v>
      </c>
      <c r="L521" s="9"/>
      <c r="M521" s="9"/>
      <c r="N521" s="18"/>
    </row>
    <row r="522" ht="17.25" customHeight="1" spans="1:14">
      <c r="A522" s="9"/>
      <c r="B522" s="9" t="s">
        <v>122</v>
      </c>
      <c r="C522" s="9" t="s">
        <v>895</v>
      </c>
      <c r="D522" s="10" t="s">
        <v>17</v>
      </c>
      <c r="E522" s="14">
        <v>1</v>
      </c>
      <c r="F522" s="9">
        <f>E522*SUMPRODUCT(F519:F520*E519:E520)</f>
        <v>0.00297</v>
      </c>
      <c r="G522" s="10">
        <v>131.6</v>
      </c>
      <c r="H522" s="10">
        <v>93.2</v>
      </c>
      <c r="I522" s="10">
        <v>118.4</v>
      </c>
      <c r="J522" s="9">
        <f>E522*SUMPRODUCT(J519:J520*E519:E520)</f>
        <v>0.55</v>
      </c>
      <c r="K522" s="9">
        <f>E522*SUMPRODUCT(K519:K520*E519:E520)</f>
        <v>0.5</v>
      </c>
      <c r="L522" s="9"/>
      <c r="M522" s="9"/>
      <c r="N522" s="18"/>
    </row>
    <row r="523" ht="17.25" customHeight="1" spans="1:14">
      <c r="A523" s="9"/>
      <c r="B523" s="9" t="s">
        <v>123</v>
      </c>
      <c r="C523" s="9" t="s">
        <v>893</v>
      </c>
      <c r="D523" s="9"/>
      <c r="E523" s="14"/>
      <c r="F523" s="9"/>
      <c r="G523" s="9">
        <f>G522</f>
        <v>131.6</v>
      </c>
      <c r="H523" s="9">
        <f>H522</f>
        <v>93.2</v>
      </c>
      <c r="I523" s="9">
        <f>I522</f>
        <v>118.4</v>
      </c>
      <c r="J523" s="9">
        <f>J522</f>
        <v>0.55</v>
      </c>
      <c r="K523" s="9">
        <f>K522</f>
        <v>0.5</v>
      </c>
      <c r="L523" s="9"/>
      <c r="M523" s="9"/>
      <c r="N523" s="19"/>
    </row>
    <row r="524" ht="23" customHeight="1" spans="1:14">
      <c r="A524" s="6" t="s">
        <v>901</v>
      </c>
      <c r="B524" s="6" t="s">
        <v>902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16"/>
    </row>
    <row r="525" ht="17.25" customHeight="1" spans="1:14">
      <c r="A525" s="7" t="s">
        <v>903</v>
      </c>
      <c r="B525" s="8" t="s">
        <v>756</v>
      </c>
      <c r="C525" s="8"/>
      <c r="D525" s="7"/>
      <c r="E525" s="12"/>
      <c r="F525" s="7"/>
      <c r="G525" s="7"/>
      <c r="J525" s="7"/>
      <c r="K525" s="7"/>
      <c r="L525" s="7"/>
      <c r="M525" s="7"/>
      <c r="N525" s="17"/>
    </row>
    <row r="526" ht="17.25" customHeight="1" spans="1:14">
      <c r="A526" s="7"/>
      <c r="B526" s="7" t="s">
        <v>757</v>
      </c>
      <c r="C526" s="7" t="s">
        <v>758</v>
      </c>
      <c r="D526" s="7" t="s">
        <v>759</v>
      </c>
      <c r="E526" s="12">
        <v>1</v>
      </c>
      <c r="F526" s="13">
        <v>0.0888</v>
      </c>
      <c r="G526" s="7">
        <v>110.86</v>
      </c>
      <c r="H526" s="7">
        <v>32.83</v>
      </c>
      <c r="I526" s="7">
        <v>62.01</v>
      </c>
      <c r="J526" s="7">
        <v>10.7</v>
      </c>
      <c r="K526" s="7">
        <v>7.65</v>
      </c>
      <c r="L526" s="7" t="s">
        <v>760</v>
      </c>
      <c r="M526" s="7" t="s">
        <v>761</v>
      </c>
      <c r="N526" s="17" t="s">
        <v>762</v>
      </c>
    </row>
    <row r="527" ht="17.25" customHeight="1" spans="1:14">
      <c r="A527" s="7"/>
      <c r="B527" s="7" t="s">
        <v>763</v>
      </c>
      <c r="C527" s="7" t="s">
        <v>764</v>
      </c>
      <c r="D527" s="7" t="s">
        <v>765</v>
      </c>
      <c r="E527" s="12">
        <v>2</v>
      </c>
      <c r="F527" s="13">
        <v>0.0072345</v>
      </c>
      <c r="G527" s="7">
        <v>5</v>
      </c>
      <c r="H527" s="7">
        <v>2</v>
      </c>
      <c r="I527" s="7">
        <v>3.5</v>
      </c>
      <c r="J527" s="7">
        <v>0.4</v>
      </c>
      <c r="K527" s="7">
        <v>0.1</v>
      </c>
      <c r="L527" s="7" t="s">
        <v>11</v>
      </c>
      <c r="M527" s="7" t="s">
        <v>11</v>
      </c>
      <c r="N527" s="17" t="s">
        <v>68</v>
      </c>
    </row>
    <row r="528" ht="17.25" customHeight="1" spans="1:14">
      <c r="A528" s="7"/>
      <c r="B528" s="7" t="s">
        <v>766</v>
      </c>
      <c r="C528" s="7" t="s">
        <v>767</v>
      </c>
      <c r="D528" s="7" t="s">
        <v>768</v>
      </c>
      <c r="E528" s="12">
        <v>1</v>
      </c>
      <c r="F528" s="13">
        <v>0.02027575</v>
      </c>
      <c r="G528" s="7">
        <v>136.92</v>
      </c>
      <c r="H528" s="7">
        <v>58.65</v>
      </c>
      <c r="I528" s="7">
        <v>73.89</v>
      </c>
      <c r="J528" s="7">
        <v>2.45</v>
      </c>
      <c r="K528" s="7">
        <v>1.65</v>
      </c>
      <c r="L528" s="7" t="s">
        <v>11</v>
      </c>
      <c r="M528" s="7" t="s">
        <v>40</v>
      </c>
      <c r="N528" s="17" t="s">
        <v>769</v>
      </c>
    </row>
    <row r="529" ht="17.25" customHeight="1" spans="1:14">
      <c r="A529" s="7"/>
      <c r="B529" s="7" t="s">
        <v>747</v>
      </c>
      <c r="C529" s="7" t="s">
        <v>748</v>
      </c>
      <c r="D529" s="7" t="s">
        <v>749</v>
      </c>
      <c r="E529" s="12">
        <v>2</v>
      </c>
      <c r="F529" s="13">
        <v>0.0058007</v>
      </c>
      <c r="G529" s="7"/>
      <c r="H529" s="7"/>
      <c r="I529" s="7"/>
      <c r="J529" s="7">
        <v>1.25</v>
      </c>
      <c r="K529" s="7">
        <v>0.7</v>
      </c>
      <c r="L529" s="7" t="s">
        <v>11</v>
      </c>
      <c r="M529" s="7" t="s">
        <v>11</v>
      </c>
      <c r="N529" s="17" t="s">
        <v>580</v>
      </c>
    </row>
    <row r="530" ht="17.25" customHeight="1" spans="1:14">
      <c r="A530" s="7"/>
      <c r="B530" s="7" t="s">
        <v>581</v>
      </c>
      <c r="C530" s="7" t="s">
        <v>582</v>
      </c>
      <c r="D530" s="7" t="s">
        <v>583</v>
      </c>
      <c r="E530" s="12">
        <v>4</v>
      </c>
      <c r="F530" s="13">
        <v>0.00092796</v>
      </c>
      <c r="G530" s="7">
        <v>10</v>
      </c>
      <c r="H530" s="7">
        <v>1</v>
      </c>
      <c r="I530" s="7">
        <v>3</v>
      </c>
      <c r="J530" s="7">
        <v>0.2</v>
      </c>
      <c r="K530" s="7">
        <v>0.15</v>
      </c>
      <c r="L530" s="7" t="s">
        <v>11</v>
      </c>
      <c r="M530" s="7" t="s">
        <v>11</v>
      </c>
      <c r="N530" s="17" t="s">
        <v>584</v>
      </c>
    </row>
    <row r="531" ht="17.25" customHeight="1" spans="1:14">
      <c r="A531" s="9"/>
      <c r="B531" s="9" t="s">
        <v>756</v>
      </c>
      <c r="C531" s="9"/>
      <c r="D531" s="10" t="s">
        <v>120</v>
      </c>
      <c r="E531" s="14">
        <v>1</v>
      </c>
      <c r="F531" s="9">
        <f>SUMPRODUCT(F526:F530*E526:E530)</f>
        <v>0.13885799</v>
      </c>
      <c r="G531" s="10" t="s">
        <v>806</v>
      </c>
      <c r="H531" s="10" t="s">
        <v>807</v>
      </c>
      <c r="I531" s="10" t="s">
        <v>808</v>
      </c>
      <c r="J531" s="9">
        <f>SUMPRODUCT(J526:J530*E526:E530)</f>
        <v>17.25</v>
      </c>
      <c r="K531" s="9">
        <f>SUMPRODUCT(K526:K530*E526:E530)</f>
        <v>11.5</v>
      </c>
      <c r="L531" s="9"/>
      <c r="M531" s="9"/>
      <c r="N531" s="18"/>
    </row>
    <row r="532" ht="17.25" customHeight="1" spans="1:14">
      <c r="A532" s="9"/>
      <c r="B532" s="9" t="s">
        <v>122</v>
      </c>
      <c r="C532" s="9" t="s">
        <v>756</v>
      </c>
      <c r="D532" s="10" t="s">
        <v>17</v>
      </c>
      <c r="E532" s="14">
        <v>2</v>
      </c>
      <c r="F532" s="9">
        <f>E532*SUMPRODUCT(F526:F530*E526:E530)</f>
        <v>0.27771598</v>
      </c>
      <c r="G532" s="10">
        <v>595.56</v>
      </c>
      <c r="H532" s="10">
        <v>198.96</v>
      </c>
      <c r="I532" s="10">
        <v>309.8</v>
      </c>
      <c r="J532" s="9">
        <f>E532*SUMPRODUCT(J526:J530*E526:E530)</f>
        <v>34.5</v>
      </c>
      <c r="K532" s="9">
        <f>E532*SUMPRODUCT(K526:K530*E526:E530)</f>
        <v>23</v>
      </c>
      <c r="L532" s="9"/>
      <c r="M532" s="9"/>
      <c r="N532" s="18"/>
    </row>
    <row r="533" ht="17.25" customHeight="1" spans="1:14">
      <c r="A533" s="9"/>
      <c r="B533" s="9" t="s">
        <v>123</v>
      </c>
      <c r="C533" s="9" t="s">
        <v>902</v>
      </c>
      <c r="D533" s="9"/>
      <c r="E533" s="14"/>
      <c r="F533" s="9"/>
      <c r="G533" s="9">
        <f>G532</f>
        <v>595.56</v>
      </c>
      <c r="H533" s="9">
        <f>H532</f>
        <v>198.96</v>
      </c>
      <c r="I533" s="9">
        <f>I532</f>
        <v>309.8</v>
      </c>
      <c r="J533" s="9">
        <f>J532</f>
        <v>34.5</v>
      </c>
      <c r="K533" s="9">
        <f>K532</f>
        <v>23</v>
      </c>
      <c r="L533" s="9"/>
      <c r="M533" s="9"/>
      <c r="N533" s="19"/>
    </row>
    <row r="534" ht="23" customHeight="1" spans="1:14">
      <c r="A534" s="6" t="s">
        <v>904</v>
      </c>
      <c r="B534" s="6" t="s">
        <v>905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16"/>
    </row>
    <row r="535" ht="17.25" customHeight="1" spans="1:14">
      <c r="A535" s="7" t="s">
        <v>906</v>
      </c>
      <c r="B535" s="8" t="s">
        <v>907</v>
      </c>
      <c r="C535" s="8"/>
      <c r="D535" s="7"/>
      <c r="E535" s="12"/>
      <c r="F535" s="7"/>
      <c r="G535" s="7"/>
      <c r="J535" s="7"/>
      <c r="K535" s="7"/>
      <c r="L535" s="7"/>
      <c r="M535" s="7"/>
      <c r="N535" s="17"/>
    </row>
    <row r="536" ht="17.25" customHeight="1" spans="1:14">
      <c r="A536" s="7"/>
      <c r="B536" s="7" t="s">
        <v>908</v>
      </c>
      <c r="C536" s="7" t="s">
        <v>909</v>
      </c>
      <c r="D536" s="7" t="s">
        <v>910</v>
      </c>
      <c r="E536" s="12">
        <v>1</v>
      </c>
      <c r="F536" s="13">
        <v>0.131828625</v>
      </c>
      <c r="G536" s="7">
        <v>60</v>
      </c>
      <c r="H536" s="7">
        <v>40</v>
      </c>
      <c r="I536" s="7">
        <v>48</v>
      </c>
      <c r="J536" s="7">
        <v>15.3</v>
      </c>
      <c r="K536" s="7">
        <v>9.3</v>
      </c>
      <c r="L536" s="7" t="s">
        <v>911</v>
      </c>
      <c r="M536" s="7" t="s">
        <v>911</v>
      </c>
      <c r="N536" s="17" t="s">
        <v>912</v>
      </c>
    </row>
    <row r="537" ht="17.25" customHeight="1" spans="1:14">
      <c r="A537" s="7"/>
      <c r="B537" s="7" t="s">
        <v>913</v>
      </c>
      <c r="C537" s="7" t="s">
        <v>914</v>
      </c>
      <c r="D537" s="7" t="s">
        <v>915</v>
      </c>
      <c r="E537" s="12">
        <v>1</v>
      </c>
      <c r="F537" s="13">
        <v>0.00033</v>
      </c>
      <c r="G537" s="7"/>
      <c r="H537" s="7"/>
      <c r="I537" s="7"/>
      <c r="J537" s="7">
        <v>0</v>
      </c>
      <c r="K537" s="7">
        <v>0</v>
      </c>
      <c r="L537" s="7" t="s">
        <v>11</v>
      </c>
      <c r="M537" s="7" t="s">
        <v>11</v>
      </c>
      <c r="N537" s="17" t="s">
        <v>354</v>
      </c>
    </row>
    <row r="538" ht="17.25" customHeight="1" spans="1:14">
      <c r="A538" s="7"/>
      <c r="B538" s="7" t="s">
        <v>916</v>
      </c>
      <c r="C538" s="7" t="s">
        <v>917</v>
      </c>
      <c r="D538" s="7" t="s">
        <v>918</v>
      </c>
      <c r="E538" s="12">
        <v>1</v>
      </c>
      <c r="F538" s="13">
        <v>0.00033</v>
      </c>
      <c r="G538" s="7"/>
      <c r="H538" s="7"/>
      <c r="I538" s="7"/>
      <c r="J538" s="7">
        <v>0</v>
      </c>
      <c r="K538" s="7">
        <v>0</v>
      </c>
      <c r="L538" s="7" t="s">
        <v>11</v>
      </c>
      <c r="M538" s="7" t="s">
        <v>11</v>
      </c>
      <c r="N538" s="17" t="s">
        <v>354</v>
      </c>
    </row>
    <row r="539" ht="17.25" customHeight="1" spans="1:14">
      <c r="A539" s="9"/>
      <c r="B539" s="9" t="s">
        <v>907</v>
      </c>
      <c r="C539" s="9"/>
      <c r="D539" s="10" t="s">
        <v>120</v>
      </c>
      <c r="E539" s="14">
        <v>1</v>
      </c>
      <c r="F539" s="9">
        <f>SUMPRODUCT(F536:F538*E536:E538)</f>
        <v>0.132488625</v>
      </c>
      <c r="G539" s="10" t="s">
        <v>919</v>
      </c>
      <c r="H539" s="10" t="s">
        <v>920</v>
      </c>
      <c r="I539" s="10" t="s">
        <v>921</v>
      </c>
      <c r="J539" s="9">
        <f>SUMPRODUCT(J536:J538*E536:E538)</f>
        <v>15.3</v>
      </c>
      <c r="K539" s="9">
        <f>SUMPRODUCT(K536:K538*E536:E538)</f>
        <v>9.3</v>
      </c>
      <c r="L539" s="9"/>
      <c r="M539" s="9"/>
      <c r="N539" s="18"/>
    </row>
    <row r="540" ht="17.25" customHeight="1" spans="1:14">
      <c r="A540" s="9"/>
      <c r="B540" s="9" t="s">
        <v>122</v>
      </c>
      <c r="C540" s="9" t="s">
        <v>907</v>
      </c>
      <c r="D540" s="10" t="s">
        <v>17</v>
      </c>
      <c r="E540" s="14">
        <v>2</v>
      </c>
      <c r="F540" s="9">
        <f>E540*SUMPRODUCT(F536:F538*E536:E538)</f>
        <v>0.26497725</v>
      </c>
      <c r="G540" s="10">
        <v>120</v>
      </c>
      <c r="H540" s="10">
        <v>80</v>
      </c>
      <c r="I540" s="10">
        <v>96</v>
      </c>
      <c r="J540" s="9">
        <f>E540*SUMPRODUCT(J536:J538*E536:E538)</f>
        <v>30.6</v>
      </c>
      <c r="K540" s="9">
        <f>E540*SUMPRODUCT(K536:K538*E536:E538)</f>
        <v>18.6</v>
      </c>
      <c r="L540" s="9"/>
      <c r="M540" s="9"/>
      <c r="N540" s="18"/>
    </row>
    <row r="541" ht="17.25" customHeight="1" spans="1:14">
      <c r="A541" s="9"/>
      <c r="B541" s="9" t="s">
        <v>123</v>
      </c>
      <c r="C541" s="9" t="s">
        <v>905</v>
      </c>
      <c r="D541" s="9"/>
      <c r="E541" s="14"/>
      <c r="F541" s="9"/>
      <c r="G541" s="9">
        <f>G540</f>
        <v>120</v>
      </c>
      <c r="H541" s="9">
        <f>H540</f>
        <v>80</v>
      </c>
      <c r="I541" s="9">
        <f>I540</f>
        <v>96</v>
      </c>
      <c r="J541" s="9">
        <f>J540</f>
        <v>30.6</v>
      </c>
      <c r="K541" s="9">
        <f>K540</f>
        <v>18.6</v>
      </c>
      <c r="L541" s="9"/>
      <c r="M541" s="9"/>
      <c r="N541" s="19"/>
    </row>
    <row r="542" ht="23" customHeight="1" spans="1:14">
      <c r="A542" s="6" t="s">
        <v>922</v>
      </c>
      <c r="B542" s="6" t="s">
        <v>923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16"/>
    </row>
    <row r="543" ht="17.25" customHeight="1" spans="1:14">
      <c r="A543" s="7" t="s">
        <v>924</v>
      </c>
      <c r="B543" s="8" t="s">
        <v>925</v>
      </c>
      <c r="C543" s="8"/>
      <c r="D543" s="7"/>
      <c r="E543" s="12"/>
      <c r="F543" s="7"/>
      <c r="G543" s="7"/>
      <c r="J543" s="7"/>
      <c r="K543" s="7"/>
      <c r="L543" s="7"/>
      <c r="M543" s="7"/>
      <c r="N543" s="17"/>
    </row>
    <row r="544" ht="17.25" customHeight="1" spans="1:14">
      <c r="A544" s="7"/>
      <c r="B544" s="7" t="s">
        <v>926</v>
      </c>
      <c r="C544" s="7" t="s">
        <v>927</v>
      </c>
      <c r="D544" s="7" t="s">
        <v>928</v>
      </c>
      <c r="E544" s="12">
        <v>10</v>
      </c>
      <c r="F544" s="13">
        <v>0.00033</v>
      </c>
      <c r="G544" s="7"/>
      <c r="H544" s="7"/>
      <c r="I544" s="7"/>
      <c r="J544" s="7">
        <v>0</v>
      </c>
      <c r="K544" s="7">
        <v>0</v>
      </c>
      <c r="L544" s="7" t="s">
        <v>11</v>
      </c>
      <c r="M544" s="7" t="s">
        <v>11</v>
      </c>
      <c r="N544" s="17" t="s">
        <v>354</v>
      </c>
    </row>
    <row r="545" ht="17.25" customHeight="1" spans="1:14">
      <c r="A545" s="7"/>
      <c r="B545" s="7" t="s">
        <v>929</v>
      </c>
      <c r="C545" s="7" t="s">
        <v>930</v>
      </c>
      <c r="D545" s="7" t="s">
        <v>931</v>
      </c>
      <c r="E545" s="12">
        <v>5</v>
      </c>
      <c r="F545" s="13">
        <v>0.00033</v>
      </c>
      <c r="G545" s="7"/>
      <c r="H545" s="7"/>
      <c r="I545" s="7"/>
      <c r="J545" s="7">
        <v>0</v>
      </c>
      <c r="K545" s="7">
        <v>0</v>
      </c>
      <c r="L545" s="7" t="s">
        <v>11</v>
      </c>
      <c r="M545" s="7" t="s">
        <v>11</v>
      </c>
      <c r="N545" s="17" t="s">
        <v>354</v>
      </c>
    </row>
    <row r="546" ht="17.25" customHeight="1" spans="1:14">
      <c r="A546" s="9"/>
      <c r="B546" s="9" t="s">
        <v>925</v>
      </c>
      <c r="C546" s="9"/>
      <c r="D546" s="10" t="s">
        <v>120</v>
      </c>
      <c r="E546" s="14">
        <v>1</v>
      </c>
      <c r="F546" s="9">
        <f>SUMPRODUCT(F544:F545*E544:E545)</f>
        <v>0.00495</v>
      </c>
      <c r="G546" s="10" t="s">
        <v>121</v>
      </c>
      <c r="H546" s="10" t="s">
        <v>121</v>
      </c>
      <c r="I546" s="10" t="s">
        <v>121</v>
      </c>
      <c r="J546" s="9">
        <f>SUMPRODUCT(J544:J545*E544:E545)</f>
        <v>0</v>
      </c>
      <c r="K546" s="9">
        <f>SUMPRODUCT(K544:K545*E544:E545)</f>
        <v>0</v>
      </c>
      <c r="L546" s="9"/>
      <c r="M546" s="9"/>
      <c r="N546" s="18"/>
    </row>
    <row r="547" ht="17.25" customHeight="1" spans="1:14">
      <c r="A547" s="9"/>
      <c r="B547" s="9" t="s">
        <v>122</v>
      </c>
      <c r="C547" s="9" t="s">
        <v>925</v>
      </c>
      <c r="D547" s="10" t="s">
        <v>17</v>
      </c>
      <c r="E547" s="14">
        <v>1</v>
      </c>
      <c r="F547" s="9">
        <f>E547*SUMPRODUCT(F544:F545*E544:E545)</f>
        <v>0.00495</v>
      </c>
      <c r="G547" s="10">
        <v>0</v>
      </c>
      <c r="H547" s="10">
        <v>0</v>
      </c>
      <c r="I547" s="10">
        <v>0</v>
      </c>
      <c r="J547" s="9">
        <f>E547*SUMPRODUCT(J544:J545*E544:E545)</f>
        <v>0</v>
      </c>
      <c r="K547" s="9">
        <f>E547*SUMPRODUCT(K544:K545*E544:E545)</f>
        <v>0</v>
      </c>
      <c r="L547" s="9"/>
      <c r="M547" s="9"/>
      <c r="N547" s="18"/>
    </row>
    <row r="548" ht="17.25" customHeight="1" spans="1:14">
      <c r="A548" s="9"/>
      <c r="B548" s="9" t="s">
        <v>123</v>
      </c>
      <c r="C548" s="9" t="s">
        <v>923</v>
      </c>
      <c r="D548" s="9"/>
      <c r="E548" s="14"/>
      <c r="F548" s="9"/>
      <c r="G548" s="9">
        <f>G547</f>
        <v>0</v>
      </c>
      <c r="H548" s="9">
        <f>H547</f>
        <v>0</v>
      </c>
      <c r="I548" s="9">
        <f>I547</f>
        <v>0</v>
      </c>
      <c r="J548" s="9">
        <f>J547</f>
        <v>0</v>
      </c>
      <c r="K548" s="9">
        <f>K547</f>
        <v>0</v>
      </c>
      <c r="L548" s="9"/>
      <c r="M548" s="9"/>
      <c r="N548" s="19"/>
    </row>
    <row r="549" ht="23" customHeight="1" spans="1:14">
      <c r="A549" s="6" t="s">
        <v>932</v>
      </c>
      <c r="B549" s="6" t="s">
        <v>933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16"/>
    </row>
    <row r="550" ht="17.25" customHeight="1" spans="1:14">
      <c r="A550" s="7" t="s">
        <v>934</v>
      </c>
      <c r="B550" s="8" t="s">
        <v>935</v>
      </c>
      <c r="C550" s="8"/>
      <c r="D550" s="7"/>
      <c r="E550" s="12"/>
      <c r="F550" s="7"/>
      <c r="G550" s="7"/>
      <c r="J550" s="7"/>
      <c r="K550" s="7"/>
      <c r="L550" s="7"/>
      <c r="M550" s="7"/>
      <c r="N550" s="17"/>
    </row>
    <row r="551" ht="17.25" customHeight="1" spans="1:14">
      <c r="A551" s="7"/>
      <c r="B551" s="7" t="s">
        <v>936</v>
      </c>
      <c r="C551" s="7" t="s">
        <v>937</v>
      </c>
      <c r="D551" s="7" t="s">
        <v>938</v>
      </c>
      <c r="E551" s="12">
        <v>1</v>
      </c>
      <c r="F551" s="13">
        <v>0.15249792</v>
      </c>
      <c r="G551" s="7">
        <v>399.88</v>
      </c>
      <c r="H551" s="7">
        <v>351.91</v>
      </c>
      <c r="I551" s="7">
        <v>375.89</v>
      </c>
      <c r="J551" s="7">
        <v>28</v>
      </c>
      <c r="K551" s="20"/>
      <c r="L551" s="7" t="s">
        <v>939</v>
      </c>
      <c r="M551" s="7" t="s">
        <v>940</v>
      </c>
      <c r="N551" s="17" t="s">
        <v>941</v>
      </c>
    </row>
    <row r="552" ht="17.25" customHeight="1" spans="1:14">
      <c r="A552" s="7"/>
      <c r="B552" s="7" t="s">
        <v>942</v>
      </c>
      <c r="C552" s="7" t="s">
        <v>943</v>
      </c>
      <c r="D552" s="7" t="s">
        <v>944</v>
      </c>
      <c r="E552" s="12">
        <v>1</v>
      </c>
      <c r="F552" s="13">
        <v>0.00795212</v>
      </c>
      <c r="G552" s="7">
        <v>3.37</v>
      </c>
      <c r="H552" s="7">
        <v>1.5</v>
      </c>
      <c r="I552" s="7">
        <v>2.86</v>
      </c>
      <c r="J552" s="7">
        <v>0.4</v>
      </c>
      <c r="K552" s="7">
        <v>0.1</v>
      </c>
      <c r="L552" s="7" t="s">
        <v>11</v>
      </c>
      <c r="M552" s="7" t="s">
        <v>40</v>
      </c>
      <c r="N552" s="17" t="s">
        <v>273</v>
      </c>
    </row>
    <row r="553" ht="17.25" customHeight="1" spans="1:14">
      <c r="A553" s="7"/>
      <c r="B553" s="7" t="s">
        <v>945</v>
      </c>
      <c r="C553" s="7" t="s">
        <v>946</v>
      </c>
      <c r="D553" s="7" t="s">
        <v>947</v>
      </c>
      <c r="E553" s="12">
        <v>4</v>
      </c>
      <c r="F553" s="13">
        <v>0.00960256</v>
      </c>
      <c r="G553" s="7">
        <v>9.9</v>
      </c>
      <c r="H553" s="7">
        <v>6.8</v>
      </c>
      <c r="I553" s="7">
        <v>8.42</v>
      </c>
      <c r="J553" s="7">
        <v>1.1</v>
      </c>
      <c r="K553" s="7">
        <v>0.75</v>
      </c>
      <c r="L553" s="7" t="s">
        <v>11</v>
      </c>
      <c r="M553" s="7" t="s">
        <v>40</v>
      </c>
      <c r="N553" s="17" t="s">
        <v>138</v>
      </c>
    </row>
    <row r="554" ht="17.25" customHeight="1" spans="1:14">
      <c r="A554" s="7"/>
      <c r="B554" s="7" t="s">
        <v>864</v>
      </c>
      <c r="C554" s="7" t="s">
        <v>865</v>
      </c>
      <c r="D554" s="7" t="s">
        <v>866</v>
      </c>
      <c r="E554" s="12">
        <v>1</v>
      </c>
      <c r="F554" s="13">
        <v>0.00385605</v>
      </c>
      <c r="G554" s="7">
        <v>9.74</v>
      </c>
      <c r="H554" s="7">
        <v>8.76</v>
      </c>
      <c r="I554" s="7">
        <v>9.25</v>
      </c>
      <c r="J554" s="7">
        <v>0.3</v>
      </c>
      <c r="K554" s="7">
        <v>0.15</v>
      </c>
      <c r="L554" s="7" t="s">
        <v>11</v>
      </c>
      <c r="M554" s="7" t="s">
        <v>40</v>
      </c>
      <c r="N554" s="17" t="s">
        <v>146</v>
      </c>
    </row>
    <row r="555" ht="17.25" customHeight="1" spans="1:14">
      <c r="A555" s="9"/>
      <c r="B555" s="9" t="s">
        <v>935</v>
      </c>
      <c r="C555" s="9"/>
      <c r="D555" s="10" t="s">
        <v>120</v>
      </c>
      <c r="E555" s="14">
        <v>1</v>
      </c>
      <c r="F555" s="9">
        <f>SUMPRODUCT(F551:F554*E551:E554)</f>
        <v>0.20271633</v>
      </c>
      <c r="G555" s="10" t="s">
        <v>948</v>
      </c>
      <c r="H555" s="10" t="s">
        <v>949</v>
      </c>
      <c r="I555" s="10" t="s">
        <v>950</v>
      </c>
      <c r="J555" s="9">
        <f>SUMPRODUCT(J551:J554*E551:E554)</f>
        <v>33.1</v>
      </c>
      <c r="K555" s="9">
        <f>SUMPRODUCT(K551:K554*E551:E554)</f>
        <v>3.25</v>
      </c>
      <c r="L555" s="9"/>
      <c r="M555" s="9"/>
      <c r="N555" s="18"/>
    </row>
    <row r="556" ht="17.25" customHeight="1" spans="1:14">
      <c r="A556" s="9"/>
      <c r="B556" s="9" t="s">
        <v>122</v>
      </c>
      <c r="C556" s="9" t="s">
        <v>935</v>
      </c>
      <c r="D556" s="10" t="s">
        <v>17</v>
      </c>
      <c r="E556" s="14">
        <v>1</v>
      </c>
      <c r="F556" s="9">
        <f>E556*SUMPRODUCT(F551:F554*E551:E554)</f>
        <v>0.20271633</v>
      </c>
      <c r="G556" s="10">
        <v>452.59</v>
      </c>
      <c r="H556" s="10">
        <v>389.37</v>
      </c>
      <c r="I556" s="10">
        <v>421.68</v>
      </c>
      <c r="J556" s="9">
        <f>E556*SUMPRODUCT(J551:J554*E551:E554)</f>
        <v>33.1</v>
      </c>
      <c r="K556" s="9">
        <f>E556*SUMPRODUCT(K551:K554*E551:E554)</f>
        <v>3.25</v>
      </c>
      <c r="L556" s="9"/>
      <c r="M556" s="9"/>
      <c r="N556" s="18"/>
    </row>
    <row r="557" ht="17.25" customHeight="1" spans="1:14">
      <c r="A557" s="7" t="s">
        <v>951</v>
      </c>
      <c r="B557" s="8" t="s">
        <v>952</v>
      </c>
      <c r="C557" s="8"/>
      <c r="D557" s="7"/>
      <c r="E557" s="12"/>
      <c r="F557" s="7"/>
      <c r="G557" s="7"/>
      <c r="J557" s="7"/>
      <c r="K557" s="7"/>
      <c r="L557" s="7"/>
      <c r="M557" s="7"/>
      <c r="N557" s="17"/>
    </row>
    <row r="558" ht="17.25" customHeight="1" spans="1:14">
      <c r="A558" s="7"/>
      <c r="B558" s="7" t="s">
        <v>953</v>
      </c>
      <c r="C558" s="7" t="s">
        <v>954</v>
      </c>
      <c r="D558" s="7" t="s">
        <v>955</v>
      </c>
      <c r="E558" s="12">
        <v>1</v>
      </c>
      <c r="F558" s="13">
        <v>0.00033</v>
      </c>
      <c r="G558" s="7"/>
      <c r="H558" s="7"/>
      <c r="I558" s="7"/>
      <c r="J558" s="7">
        <v>0</v>
      </c>
      <c r="K558" s="7">
        <v>0</v>
      </c>
      <c r="L558" s="7" t="s">
        <v>11</v>
      </c>
      <c r="M558" s="7" t="s">
        <v>11</v>
      </c>
      <c r="N558" s="17" t="s">
        <v>354</v>
      </c>
    </row>
    <row r="559" ht="17.25" customHeight="1" spans="1:14">
      <c r="A559" s="9"/>
      <c r="B559" s="9" t="s">
        <v>952</v>
      </c>
      <c r="C559" s="9"/>
      <c r="D559" s="10" t="s">
        <v>120</v>
      </c>
      <c r="E559" s="14">
        <v>1</v>
      </c>
      <c r="F559" s="9">
        <f>SUMPRODUCT(F558:F558*E558:E558)</f>
        <v>0.00033</v>
      </c>
      <c r="G559" s="10" t="s">
        <v>121</v>
      </c>
      <c r="H559" s="10" t="s">
        <v>121</v>
      </c>
      <c r="I559" s="10" t="s">
        <v>121</v>
      </c>
      <c r="J559" s="9">
        <f>SUMPRODUCT(J558:J558*E558:E558)</f>
        <v>0</v>
      </c>
      <c r="K559" s="9">
        <f>SUMPRODUCT(K558:K558*E558:E558)</f>
        <v>0</v>
      </c>
      <c r="L559" s="9"/>
      <c r="M559" s="9"/>
      <c r="N559" s="18"/>
    </row>
    <row r="560" ht="17.25" customHeight="1" spans="1:14">
      <c r="A560" s="9"/>
      <c r="B560" s="9" t="s">
        <v>122</v>
      </c>
      <c r="C560" s="9" t="s">
        <v>952</v>
      </c>
      <c r="D560" s="10" t="s">
        <v>17</v>
      </c>
      <c r="E560" s="14">
        <v>1</v>
      </c>
      <c r="F560" s="9">
        <f>E560*SUMPRODUCT(F558:F558*E558:E558)</f>
        <v>0.00033</v>
      </c>
      <c r="G560" s="10">
        <v>0</v>
      </c>
      <c r="H560" s="10">
        <v>0</v>
      </c>
      <c r="I560" s="10">
        <v>0</v>
      </c>
      <c r="J560" s="9">
        <f>E560*SUMPRODUCT(J558:J558*E558:E558)</f>
        <v>0</v>
      </c>
      <c r="K560" s="9">
        <f>E560*SUMPRODUCT(K558:K558*E558:E558)</f>
        <v>0</v>
      </c>
      <c r="L560" s="9"/>
      <c r="M560" s="9"/>
      <c r="N560" s="18"/>
    </row>
    <row r="561" ht="17.25" customHeight="1" spans="1:14">
      <c r="A561" s="9"/>
      <c r="B561" s="9" t="s">
        <v>123</v>
      </c>
      <c r="C561" s="9" t="s">
        <v>933</v>
      </c>
      <c r="D561" s="9"/>
      <c r="E561" s="14"/>
      <c r="F561" s="9"/>
      <c r="G561" s="9">
        <f>G556+G560</f>
        <v>452.59</v>
      </c>
      <c r="H561" s="9">
        <f>H556+H560</f>
        <v>389.37</v>
      </c>
      <c r="I561" s="9">
        <f>I556+I560</f>
        <v>421.68</v>
      </c>
      <c r="J561" s="9">
        <f>J556+J560</f>
        <v>33.1</v>
      </c>
      <c r="K561" s="9">
        <f>K556+K560</f>
        <v>3.25</v>
      </c>
      <c r="L561" s="9"/>
      <c r="M561" s="9"/>
      <c r="N561" s="19"/>
    </row>
    <row r="562" ht="23" customHeight="1" spans="1:14">
      <c r="A562" s="6" t="s">
        <v>956</v>
      </c>
      <c r="B562" s="6" t="s">
        <v>957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16"/>
    </row>
    <row r="563" ht="17.25" customHeight="1" spans="1:14">
      <c r="A563" s="7"/>
      <c r="B563" s="7" t="s">
        <v>958</v>
      </c>
      <c r="C563" s="7" t="s">
        <v>959</v>
      </c>
      <c r="D563" s="7" t="s">
        <v>960</v>
      </c>
      <c r="E563" s="12">
        <v>46</v>
      </c>
      <c r="F563" s="7"/>
      <c r="G563" s="7"/>
      <c r="H563" s="7"/>
      <c r="I563" s="7"/>
      <c r="J563" s="7"/>
      <c r="K563" s="7"/>
      <c r="L563" s="7"/>
      <c r="M563" s="7"/>
      <c r="N563" s="17"/>
    </row>
    <row r="564" ht="17.25" customHeight="1" spans="1:14">
      <c r="A564" s="9"/>
      <c r="B564" s="9" t="s">
        <v>123</v>
      </c>
      <c r="C564" s="9" t="s">
        <v>957</v>
      </c>
      <c r="D564" s="9"/>
      <c r="E564" s="14">
        <v>1</v>
      </c>
      <c r="F564" s="9"/>
      <c r="G564" s="9">
        <f>E564*(0)</f>
        <v>0</v>
      </c>
      <c r="H564" s="9">
        <f>E564*(0)</f>
        <v>0</v>
      </c>
      <c r="I564" s="9">
        <f>E564*(0)</f>
        <v>0</v>
      </c>
      <c r="J564" s="9">
        <f>E564*(0)</f>
        <v>0</v>
      </c>
      <c r="K564" s="9">
        <f>E564*(0)</f>
        <v>0</v>
      </c>
      <c r="L564" s="9"/>
      <c r="M564" s="9"/>
      <c r="N564" s="19"/>
    </row>
    <row r="565" ht="23" customHeight="1" spans="1:14">
      <c r="A565" s="6" t="s">
        <v>961</v>
      </c>
      <c r="B565" s="6" t="s">
        <v>962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16"/>
    </row>
    <row r="566" ht="17.25" customHeight="1" spans="1:14">
      <c r="A566" s="7"/>
      <c r="B566" s="7" t="s">
        <v>963</v>
      </c>
      <c r="C566" s="7" t="s">
        <v>964</v>
      </c>
      <c r="D566" s="7" t="s">
        <v>965</v>
      </c>
      <c r="E566" s="12">
        <v>75</v>
      </c>
      <c r="F566" s="7"/>
      <c r="G566" s="7"/>
      <c r="H566" s="7"/>
      <c r="I566" s="7"/>
      <c r="J566" s="7"/>
      <c r="K566" s="7"/>
      <c r="L566" s="7"/>
      <c r="M566" s="7"/>
      <c r="N566" s="17"/>
    </row>
    <row r="567" ht="17.25" customHeight="1" spans="1:14">
      <c r="A567" s="9"/>
      <c r="B567" s="9" t="s">
        <v>123</v>
      </c>
      <c r="C567" s="9" t="s">
        <v>962</v>
      </c>
      <c r="D567" s="9"/>
      <c r="E567" s="14">
        <v>1</v>
      </c>
      <c r="F567" s="9"/>
      <c r="G567" s="9">
        <f>E567*(0)</f>
        <v>0</v>
      </c>
      <c r="H567" s="9">
        <f>E567*(0)</f>
        <v>0</v>
      </c>
      <c r="I567" s="9">
        <f>E567*(0)</f>
        <v>0</v>
      </c>
      <c r="J567" s="9">
        <f>E567*(0)</f>
        <v>0</v>
      </c>
      <c r="K567" s="9">
        <f>E567*(0)</f>
        <v>0</v>
      </c>
      <c r="L567" s="9"/>
      <c r="M567" s="9"/>
      <c r="N567" s="19"/>
    </row>
    <row r="568" ht="23" customHeight="1" spans="1:14">
      <c r="A568" s="6" t="s">
        <v>966</v>
      </c>
      <c r="B568" s="6" t="s">
        <v>967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16"/>
    </row>
    <row r="569" ht="17.25" customHeight="1" spans="1:14">
      <c r="A569" s="7"/>
      <c r="B569" s="7" t="s">
        <v>968</v>
      </c>
      <c r="C569" s="7" t="s">
        <v>969</v>
      </c>
      <c r="D569" s="7" t="s">
        <v>970</v>
      </c>
      <c r="E569" s="12">
        <v>45</v>
      </c>
      <c r="F569" s="7"/>
      <c r="G569" s="7"/>
      <c r="H569" s="7"/>
      <c r="I569" s="7"/>
      <c r="J569" s="7"/>
      <c r="K569" s="7"/>
      <c r="L569" s="7"/>
      <c r="M569" s="7"/>
      <c r="N569" s="17"/>
    </row>
    <row r="570" ht="17.25" customHeight="1" spans="1:14">
      <c r="A570" s="9"/>
      <c r="B570" s="9" t="s">
        <v>123</v>
      </c>
      <c r="C570" s="9" t="s">
        <v>967</v>
      </c>
      <c r="D570" s="9"/>
      <c r="E570" s="14">
        <v>1</v>
      </c>
      <c r="F570" s="9"/>
      <c r="G570" s="9">
        <f>E570*(0)</f>
        <v>0</v>
      </c>
      <c r="H570" s="9">
        <f>E570*(0)</f>
        <v>0</v>
      </c>
      <c r="I570" s="9">
        <f>E570*(0)</f>
        <v>0</v>
      </c>
      <c r="J570" s="9">
        <f>E570*(0)</f>
        <v>0</v>
      </c>
      <c r="K570" s="9">
        <f>E570*(0)</f>
        <v>0</v>
      </c>
      <c r="L570" s="9"/>
      <c r="M570" s="9"/>
      <c r="N570" s="19"/>
    </row>
    <row r="571" ht="23" customHeight="1" spans="1:14">
      <c r="A571" s="6" t="s">
        <v>971</v>
      </c>
      <c r="B571" s="6" t="s">
        <v>972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16"/>
    </row>
    <row r="572" ht="17.25" customHeight="1" spans="1:14">
      <c r="A572" s="7"/>
      <c r="B572" s="7" t="s">
        <v>973</v>
      </c>
      <c r="C572" s="7" t="s">
        <v>974</v>
      </c>
      <c r="D572" s="7" t="s">
        <v>975</v>
      </c>
      <c r="E572" s="12">
        <v>149</v>
      </c>
      <c r="F572" s="7"/>
      <c r="G572" s="7"/>
      <c r="H572" s="7"/>
      <c r="I572" s="7"/>
      <c r="J572" s="7"/>
      <c r="K572" s="7"/>
      <c r="L572" s="7"/>
      <c r="M572" s="7"/>
      <c r="N572" s="17"/>
    </row>
    <row r="573" ht="17.25" customHeight="1" spans="1:14">
      <c r="A573" s="9"/>
      <c r="B573" s="9" t="s">
        <v>123</v>
      </c>
      <c r="C573" s="9" t="s">
        <v>972</v>
      </c>
      <c r="D573" s="9"/>
      <c r="E573" s="14">
        <v>1</v>
      </c>
      <c r="F573" s="9"/>
      <c r="G573" s="9">
        <f>E573*(0)</f>
        <v>0</v>
      </c>
      <c r="H573" s="9">
        <f>E573*(0)</f>
        <v>0</v>
      </c>
      <c r="I573" s="9">
        <f>E573*(0)</f>
        <v>0</v>
      </c>
      <c r="J573" s="9">
        <f>E573*(0)</f>
        <v>0</v>
      </c>
      <c r="K573" s="9">
        <f>E573*(0)</f>
        <v>0</v>
      </c>
      <c r="L573" s="9"/>
      <c r="M573" s="9"/>
      <c r="N573" s="19"/>
    </row>
    <row r="574" ht="23" customHeight="1" spans="1:14">
      <c r="A574" s="6" t="s">
        <v>976</v>
      </c>
      <c r="B574" s="6" t="s">
        <v>977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16"/>
    </row>
    <row r="575" ht="17.25" customHeight="1" spans="1:14">
      <c r="A575" s="7" t="s">
        <v>978</v>
      </c>
      <c r="B575" s="8" t="s">
        <v>977</v>
      </c>
      <c r="C575" s="7"/>
      <c r="D575" s="7"/>
      <c r="E575" s="12"/>
      <c r="F575" s="7"/>
      <c r="G575" s="7"/>
      <c r="H575" s="7"/>
      <c r="I575" s="7"/>
      <c r="J575" s="7"/>
      <c r="K575" s="7"/>
      <c r="L575" s="7"/>
      <c r="M575" s="7"/>
      <c r="N575" s="17"/>
    </row>
    <row r="576" ht="17.25" customHeight="1" spans="1:14">
      <c r="A576" s="7"/>
      <c r="B576" s="7" t="s">
        <v>979</v>
      </c>
      <c r="C576" s="7" t="s">
        <v>980</v>
      </c>
      <c r="D576" s="7" t="s">
        <v>981</v>
      </c>
      <c r="E576" s="12">
        <v>1</v>
      </c>
      <c r="F576" s="13">
        <v>0.00066</v>
      </c>
      <c r="G576" s="20"/>
      <c r="H576" s="20"/>
      <c r="I576" s="20"/>
      <c r="J576" s="7">
        <v>0</v>
      </c>
      <c r="K576" s="7">
        <v>0</v>
      </c>
      <c r="L576" s="7" t="s">
        <v>11</v>
      </c>
      <c r="M576" s="7" t="s">
        <v>11</v>
      </c>
      <c r="N576" s="17" t="s">
        <v>982</v>
      </c>
    </row>
    <row r="577" ht="17.25" customHeight="1" spans="1:14">
      <c r="A577" s="7"/>
      <c r="B577" s="7" t="s">
        <v>983</v>
      </c>
      <c r="C577" s="7" t="s">
        <v>984</v>
      </c>
      <c r="D577" s="7" t="s">
        <v>985</v>
      </c>
      <c r="E577" s="12">
        <v>3</v>
      </c>
      <c r="F577" s="13">
        <v>0.00033</v>
      </c>
      <c r="G577" s="7"/>
      <c r="H577" s="7"/>
      <c r="I577" s="7"/>
      <c r="J577" s="7">
        <v>0</v>
      </c>
      <c r="K577" s="7">
        <v>0</v>
      </c>
      <c r="L577" s="7" t="s">
        <v>11</v>
      </c>
      <c r="M577" s="7" t="s">
        <v>11</v>
      </c>
      <c r="N577" s="17" t="s">
        <v>354</v>
      </c>
    </row>
    <row r="578" ht="17.25" customHeight="1" spans="1:14">
      <c r="A578" s="7"/>
      <c r="B578" s="7" t="s">
        <v>986</v>
      </c>
      <c r="C578" s="7" t="s">
        <v>987</v>
      </c>
      <c r="D578" s="7" t="s">
        <v>988</v>
      </c>
      <c r="E578" s="12">
        <v>120</v>
      </c>
      <c r="F578" s="13">
        <v>0.00033</v>
      </c>
      <c r="G578" s="7"/>
      <c r="H578" s="7"/>
      <c r="I578" s="7"/>
      <c r="J578" s="7">
        <v>0</v>
      </c>
      <c r="K578" s="7">
        <v>0</v>
      </c>
      <c r="L578" s="7" t="s">
        <v>11</v>
      </c>
      <c r="M578" s="7" t="s">
        <v>11</v>
      </c>
      <c r="N578" s="17" t="s">
        <v>354</v>
      </c>
    </row>
    <row r="579" ht="17.25" customHeight="1" spans="1:14">
      <c r="A579" s="7"/>
      <c r="B579" s="7" t="s">
        <v>989</v>
      </c>
      <c r="C579" s="7" t="s">
        <v>990</v>
      </c>
      <c r="D579" s="7" t="s">
        <v>991</v>
      </c>
      <c r="E579" s="12">
        <v>100</v>
      </c>
      <c r="F579" s="13">
        <v>0.00033</v>
      </c>
      <c r="G579" s="7"/>
      <c r="H579" s="7"/>
      <c r="I579" s="7"/>
      <c r="J579" s="7">
        <v>0</v>
      </c>
      <c r="K579" s="7">
        <v>0</v>
      </c>
      <c r="L579" s="7" t="s">
        <v>11</v>
      </c>
      <c r="M579" s="7" t="s">
        <v>11</v>
      </c>
      <c r="N579" s="17" t="s">
        <v>354</v>
      </c>
    </row>
    <row r="580" ht="17.25" customHeight="1" spans="1:14">
      <c r="A580" s="7"/>
      <c r="B580" s="7" t="s">
        <v>992</v>
      </c>
      <c r="C580" s="7" t="s">
        <v>993</v>
      </c>
      <c r="D580" s="7" t="s">
        <v>994</v>
      </c>
      <c r="E580" s="12">
        <v>1</v>
      </c>
      <c r="F580" s="7"/>
      <c r="G580" s="7"/>
      <c r="H580" s="7"/>
      <c r="I580" s="7"/>
      <c r="J580" s="7"/>
      <c r="K580" s="7"/>
      <c r="L580" s="7"/>
      <c r="M580" s="7"/>
      <c r="N580" s="17"/>
    </row>
    <row r="581" ht="17.25" customHeight="1" spans="1:14">
      <c r="A581" s="9"/>
      <c r="B581" s="9" t="s">
        <v>995</v>
      </c>
      <c r="C581" s="9"/>
      <c r="D581" s="9"/>
      <c r="E581" s="14">
        <v>1</v>
      </c>
      <c r="F581" s="9">
        <f>E581*SUMPRODUCT(F576:F580*E576:E580)</f>
        <v>0.07425</v>
      </c>
      <c r="G581" s="10" t="s">
        <v>121</v>
      </c>
      <c r="H581" s="10" t="s">
        <v>121</v>
      </c>
      <c r="I581" s="10" t="s">
        <v>121</v>
      </c>
      <c r="J581" s="9">
        <f>E581*SUMPRODUCT(J576:J580*E576:E580)</f>
        <v>0</v>
      </c>
      <c r="K581" s="9">
        <f>E581*SUMPRODUCT(K576:K580*E576:E580)</f>
        <v>0</v>
      </c>
      <c r="L581" s="9"/>
      <c r="M581" s="9"/>
      <c r="N581" s="18"/>
    </row>
    <row r="582" ht="17.25" customHeight="1" spans="1:14">
      <c r="A582" s="9"/>
      <c r="B582" s="9" t="s">
        <v>122</v>
      </c>
      <c r="C582" s="9" t="s">
        <v>995</v>
      </c>
      <c r="D582" s="10" t="s">
        <v>17</v>
      </c>
      <c r="E582" s="14">
        <v>1</v>
      </c>
      <c r="F582" s="9">
        <f>E582*SUMPRODUCT(F576:F580*E576:E580)</f>
        <v>0.07425</v>
      </c>
      <c r="G582" s="10">
        <v>0</v>
      </c>
      <c r="H582" s="10">
        <v>0</v>
      </c>
      <c r="I582" s="10">
        <v>0</v>
      </c>
      <c r="J582" s="9">
        <f>E582*SUMPRODUCT(J576:J580*E576:E580)</f>
        <v>0</v>
      </c>
      <c r="K582" s="9">
        <f>E582*SUMPRODUCT(K576:K580*E576:E580)</f>
        <v>0</v>
      </c>
      <c r="L582" s="9"/>
      <c r="M582" s="9"/>
      <c r="N582" s="18"/>
    </row>
    <row r="583" ht="17.25" customHeight="1" spans="1:14">
      <c r="A583" s="9"/>
      <c r="B583" s="9" t="s">
        <v>123</v>
      </c>
      <c r="C583" s="9" t="s">
        <v>977</v>
      </c>
      <c r="D583" s="9"/>
      <c r="E583" s="14"/>
      <c r="F583" s="9"/>
      <c r="G583" s="9">
        <f>G582</f>
        <v>0</v>
      </c>
      <c r="H583" s="9">
        <f>H582</f>
        <v>0</v>
      </c>
      <c r="I583" s="9">
        <f>I582</f>
        <v>0</v>
      </c>
      <c r="J583" s="9">
        <f>J582</f>
        <v>0</v>
      </c>
      <c r="K583" s="9">
        <f>K582</f>
        <v>0</v>
      </c>
      <c r="L583" s="9"/>
      <c r="M583" s="9"/>
      <c r="N583" s="19"/>
    </row>
    <row r="584" ht="23" customHeight="1" spans="1:14">
      <c r="A584" s="6" t="s">
        <v>996</v>
      </c>
      <c r="B584" s="6" t="s">
        <v>997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16"/>
    </row>
    <row r="585" ht="17.25" customHeight="1" spans="1:14">
      <c r="A585" s="7" t="s">
        <v>998</v>
      </c>
      <c r="B585" s="8" t="s">
        <v>997</v>
      </c>
      <c r="C585" s="7"/>
      <c r="D585" s="7"/>
      <c r="E585" s="12"/>
      <c r="F585" s="7"/>
      <c r="G585" s="7"/>
      <c r="H585" s="7"/>
      <c r="I585" s="7"/>
      <c r="J585" s="7"/>
      <c r="K585" s="7"/>
      <c r="L585" s="7"/>
      <c r="M585" s="7"/>
      <c r="N585" s="17"/>
    </row>
    <row r="586" ht="17.25" customHeight="1" spans="1:14">
      <c r="A586" s="7"/>
      <c r="B586" s="7" t="s">
        <v>999</v>
      </c>
      <c r="C586" s="7" t="s">
        <v>1000</v>
      </c>
      <c r="D586" s="7" t="s">
        <v>1001</v>
      </c>
      <c r="E586" s="12">
        <v>1</v>
      </c>
      <c r="F586" s="13">
        <v>0.00033</v>
      </c>
      <c r="G586" s="7"/>
      <c r="H586" s="7"/>
      <c r="I586" s="7"/>
      <c r="J586" s="7">
        <v>0</v>
      </c>
      <c r="K586" s="7">
        <v>0</v>
      </c>
      <c r="L586" s="7" t="s">
        <v>11</v>
      </c>
      <c r="M586" s="7" t="s">
        <v>11</v>
      </c>
      <c r="N586" s="17" t="s">
        <v>354</v>
      </c>
    </row>
    <row r="587" ht="17.25" customHeight="1" spans="1:14">
      <c r="A587" s="7"/>
      <c r="B587" s="7" t="s">
        <v>1002</v>
      </c>
      <c r="C587" s="7" t="s">
        <v>1003</v>
      </c>
      <c r="D587" s="7" t="s">
        <v>1004</v>
      </c>
      <c r="E587" s="12">
        <v>1</v>
      </c>
      <c r="F587" s="13">
        <v>0.00033</v>
      </c>
      <c r="G587" s="7"/>
      <c r="H587" s="7"/>
      <c r="I587" s="7"/>
      <c r="J587" s="7">
        <v>0</v>
      </c>
      <c r="K587" s="7">
        <v>0</v>
      </c>
      <c r="L587" s="7" t="s">
        <v>11</v>
      </c>
      <c r="M587" s="7" t="s">
        <v>11</v>
      </c>
      <c r="N587" s="17" t="s">
        <v>354</v>
      </c>
    </row>
    <row r="588" ht="17.25" customHeight="1" spans="1:14">
      <c r="A588" s="7"/>
      <c r="B588" s="7" t="s">
        <v>1005</v>
      </c>
      <c r="C588" s="7" t="s">
        <v>1006</v>
      </c>
      <c r="D588" s="7" t="s">
        <v>1007</v>
      </c>
      <c r="E588" s="12">
        <v>2</v>
      </c>
      <c r="F588" s="13">
        <v>0.00033</v>
      </c>
      <c r="G588" s="7"/>
      <c r="H588" s="7"/>
      <c r="I588" s="7"/>
      <c r="J588" s="7">
        <v>0</v>
      </c>
      <c r="K588" s="7">
        <v>0</v>
      </c>
      <c r="L588" s="7" t="s">
        <v>11</v>
      </c>
      <c r="M588" s="7" t="s">
        <v>11</v>
      </c>
      <c r="N588" s="17" t="s">
        <v>354</v>
      </c>
    </row>
    <row r="589" ht="17.25" customHeight="1" spans="1:14">
      <c r="A589" s="7"/>
      <c r="B589" s="7" t="s">
        <v>1008</v>
      </c>
      <c r="C589" s="7" t="s">
        <v>1009</v>
      </c>
      <c r="D589" s="7" t="s">
        <v>1010</v>
      </c>
      <c r="E589" s="12">
        <v>1</v>
      </c>
      <c r="F589" s="13">
        <v>0.00033</v>
      </c>
      <c r="G589" s="7"/>
      <c r="H589" s="7"/>
      <c r="I589" s="7"/>
      <c r="J589" s="7">
        <v>0</v>
      </c>
      <c r="K589" s="7">
        <v>0</v>
      </c>
      <c r="L589" s="7" t="s">
        <v>11</v>
      </c>
      <c r="M589" s="7" t="s">
        <v>11</v>
      </c>
      <c r="N589" s="17" t="s">
        <v>354</v>
      </c>
    </row>
    <row r="590" ht="17.25" customHeight="1" spans="1:14">
      <c r="A590" s="7"/>
      <c r="B590" s="7" t="s">
        <v>1011</v>
      </c>
      <c r="C590" s="7" t="s">
        <v>1012</v>
      </c>
      <c r="D590" s="7" t="s">
        <v>1013</v>
      </c>
      <c r="E590" s="12">
        <v>44</v>
      </c>
      <c r="F590" s="13">
        <v>0.00033</v>
      </c>
      <c r="G590" s="7"/>
      <c r="H590" s="7"/>
      <c r="I590" s="7"/>
      <c r="J590" s="7">
        <v>0</v>
      </c>
      <c r="K590" s="7">
        <v>0</v>
      </c>
      <c r="L590" s="7" t="s">
        <v>11</v>
      </c>
      <c r="M590" s="7" t="s">
        <v>11</v>
      </c>
      <c r="N590" s="17" t="s">
        <v>354</v>
      </c>
    </row>
    <row r="591" ht="17.25" customHeight="1" spans="1:14">
      <c r="A591" s="7"/>
      <c r="B591" s="7" t="s">
        <v>1014</v>
      </c>
      <c r="C591" s="7" t="s">
        <v>1015</v>
      </c>
      <c r="D591" s="7" t="s">
        <v>1016</v>
      </c>
      <c r="E591" s="12">
        <v>22</v>
      </c>
      <c r="F591" s="13">
        <v>0.00033</v>
      </c>
      <c r="G591" s="7"/>
      <c r="H591" s="7"/>
      <c r="I591" s="7"/>
      <c r="J591" s="7">
        <v>0</v>
      </c>
      <c r="K591" s="7">
        <v>0</v>
      </c>
      <c r="L591" s="7" t="s">
        <v>11</v>
      </c>
      <c r="M591" s="7" t="s">
        <v>11</v>
      </c>
      <c r="N591" s="17" t="s">
        <v>354</v>
      </c>
    </row>
    <row r="592" ht="17.25" customHeight="1" spans="1:14">
      <c r="A592" s="7"/>
      <c r="B592" s="7" t="s">
        <v>1017</v>
      </c>
      <c r="C592" s="7" t="s">
        <v>1018</v>
      </c>
      <c r="D592" s="7" t="s">
        <v>1019</v>
      </c>
      <c r="E592" s="12">
        <v>1</v>
      </c>
      <c r="F592" s="13">
        <v>0.00033</v>
      </c>
      <c r="G592" s="7"/>
      <c r="H592" s="7"/>
      <c r="I592" s="7"/>
      <c r="J592" s="7">
        <v>0</v>
      </c>
      <c r="K592" s="7">
        <v>0</v>
      </c>
      <c r="L592" s="7" t="s">
        <v>11</v>
      </c>
      <c r="M592" s="7" t="s">
        <v>11</v>
      </c>
      <c r="N592" s="17" t="s">
        <v>354</v>
      </c>
    </row>
    <row r="593" ht="17.25" customHeight="1" spans="1:14">
      <c r="A593" s="7"/>
      <c r="B593" s="7" t="s">
        <v>1020</v>
      </c>
      <c r="C593" s="7" t="s">
        <v>1021</v>
      </c>
      <c r="D593" s="7" t="s">
        <v>1022</v>
      </c>
      <c r="E593" s="12">
        <v>70</v>
      </c>
      <c r="F593" s="13">
        <v>0.00033</v>
      </c>
      <c r="G593" s="7"/>
      <c r="H593" s="7"/>
      <c r="I593" s="7"/>
      <c r="J593" s="7">
        <v>0</v>
      </c>
      <c r="K593" s="7">
        <v>0</v>
      </c>
      <c r="L593" s="7" t="s">
        <v>11</v>
      </c>
      <c r="M593" s="7" t="s">
        <v>11</v>
      </c>
      <c r="N593" s="17" t="s">
        <v>354</v>
      </c>
    </row>
    <row r="594" ht="17.25" customHeight="1" spans="1:14">
      <c r="A594" s="7"/>
      <c r="B594" s="7" t="s">
        <v>1023</v>
      </c>
      <c r="C594" s="7" t="s">
        <v>1024</v>
      </c>
      <c r="D594" s="7" t="s">
        <v>1025</v>
      </c>
      <c r="E594" s="12">
        <v>1</v>
      </c>
      <c r="F594" s="13">
        <v>0.00033</v>
      </c>
      <c r="G594" s="7"/>
      <c r="H594" s="7"/>
      <c r="I594" s="7"/>
      <c r="J594" s="7">
        <v>0</v>
      </c>
      <c r="K594" s="7">
        <v>0</v>
      </c>
      <c r="L594" s="7" t="s">
        <v>11</v>
      </c>
      <c r="M594" s="7" t="s">
        <v>11</v>
      </c>
      <c r="N594" s="17" t="s">
        <v>354</v>
      </c>
    </row>
    <row r="595" ht="17.25" customHeight="1" spans="1:14">
      <c r="A595" s="7"/>
      <c r="B595" s="7" t="s">
        <v>1026</v>
      </c>
      <c r="C595" s="7" t="s">
        <v>1027</v>
      </c>
      <c r="D595" s="7" t="s">
        <v>1028</v>
      </c>
      <c r="E595" s="12">
        <v>8</v>
      </c>
      <c r="F595" s="13">
        <v>0.00033</v>
      </c>
      <c r="G595" s="7"/>
      <c r="H595" s="7"/>
      <c r="I595" s="7"/>
      <c r="J595" s="7">
        <v>0</v>
      </c>
      <c r="K595" s="7">
        <v>0</v>
      </c>
      <c r="L595" s="7" t="s">
        <v>11</v>
      </c>
      <c r="M595" s="7" t="s">
        <v>11</v>
      </c>
      <c r="N595" s="17" t="s">
        <v>354</v>
      </c>
    </row>
    <row r="596" ht="17.25" customHeight="1" spans="1:14">
      <c r="A596" s="7"/>
      <c r="B596" s="7" t="s">
        <v>1029</v>
      </c>
      <c r="C596" s="7" t="s">
        <v>1030</v>
      </c>
      <c r="D596" s="7" t="s">
        <v>1031</v>
      </c>
      <c r="E596" s="12">
        <v>1</v>
      </c>
      <c r="F596" s="13">
        <v>0.00033</v>
      </c>
      <c r="G596" s="7"/>
      <c r="H596" s="7"/>
      <c r="I596" s="7"/>
      <c r="J596" s="7">
        <v>0</v>
      </c>
      <c r="K596" s="7">
        <v>0</v>
      </c>
      <c r="L596" s="7" t="s">
        <v>11</v>
      </c>
      <c r="M596" s="7" t="s">
        <v>11</v>
      </c>
      <c r="N596" s="17" t="s">
        <v>354</v>
      </c>
    </row>
    <row r="597" ht="17.25" customHeight="1" spans="1:14">
      <c r="A597" s="7"/>
      <c r="B597" s="7" t="s">
        <v>1032</v>
      </c>
      <c r="C597" s="7" t="s">
        <v>1033</v>
      </c>
      <c r="D597" s="7" t="s">
        <v>1034</v>
      </c>
      <c r="E597" s="12">
        <v>1</v>
      </c>
      <c r="F597" s="13">
        <v>0.00033</v>
      </c>
      <c r="G597" s="7"/>
      <c r="H597" s="7"/>
      <c r="I597" s="7"/>
      <c r="J597" s="7">
        <v>0</v>
      </c>
      <c r="K597" s="7">
        <v>0</v>
      </c>
      <c r="L597" s="7" t="s">
        <v>11</v>
      </c>
      <c r="M597" s="7" t="s">
        <v>11</v>
      </c>
      <c r="N597" s="17" t="s">
        <v>354</v>
      </c>
    </row>
    <row r="598" ht="17.25" customHeight="1" spans="1:14">
      <c r="A598" s="7"/>
      <c r="B598" s="7" t="s">
        <v>1035</v>
      </c>
      <c r="C598" s="7" t="s">
        <v>1036</v>
      </c>
      <c r="D598" s="7" t="s">
        <v>1037</v>
      </c>
      <c r="E598" s="12">
        <v>1</v>
      </c>
      <c r="F598" s="13">
        <v>0.00033</v>
      </c>
      <c r="G598" s="7"/>
      <c r="H598" s="7"/>
      <c r="I598" s="7"/>
      <c r="J598" s="7">
        <v>0</v>
      </c>
      <c r="K598" s="7">
        <v>0</v>
      </c>
      <c r="L598" s="7" t="s">
        <v>11</v>
      </c>
      <c r="M598" s="7" t="s">
        <v>11</v>
      </c>
      <c r="N598" s="17" t="s">
        <v>354</v>
      </c>
    </row>
    <row r="599" ht="17.25" customHeight="1" spans="1:14">
      <c r="A599" s="7"/>
      <c r="B599" s="7" t="s">
        <v>1038</v>
      </c>
      <c r="C599" s="7" t="s">
        <v>1039</v>
      </c>
      <c r="D599" s="7" t="s">
        <v>1040</v>
      </c>
      <c r="E599" s="12">
        <v>1</v>
      </c>
      <c r="F599" s="13">
        <v>0.00033</v>
      </c>
      <c r="G599" s="7"/>
      <c r="H599" s="7"/>
      <c r="I599" s="7"/>
      <c r="J599" s="7">
        <v>0</v>
      </c>
      <c r="K599" s="7">
        <v>0</v>
      </c>
      <c r="L599" s="7" t="s">
        <v>11</v>
      </c>
      <c r="M599" s="7" t="s">
        <v>11</v>
      </c>
      <c r="N599" s="17" t="s">
        <v>354</v>
      </c>
    </row>
    <row r="600" ht="17.25" customHeight="1" spans="1:14">
      <c r="A600" s="7"/>
      <c r="B600" s="7" t="s">
        <v>1041</v>
      </c>
      <c r="C600" s="7" t="s">
        <v>1042</v>
      </c>
      <c r="D600" s="7" t="s">
        <v>1043</v>
      </c>
      <c r="E600" s="12">
        <v>1</v>
      </c>
      <c r="F600" s="13">
        <v>0.00033</v>
      </c>
      <c r="G600" s="7"/>
      <c r="H600" s="7"/>
      <c r="I600" s="7"/>
      <c r="J600" s="7">
        <v>0</v>
      </c>
      <c r="K600" s="7">
        <v>0</v>
      </c>
      <c r="L600" s="7" t="s">
        <v>11</v>
      </c>
      <c r="M600" s="7" t="s">
        <v>11</v>
      </c>
      <c r="N600" s="17" t="s">
        <v>354</v>
      </c>
    </row>
    <row r="601" ht="17.25" customHeight="1" spans="1:14">
      <c r="A601" s="7"/>
      <c r="B601" s="7" t="s">
        <v>1044</v>
      </c>
      <c r="C601" s="7" t="s">
        <v>1045</v>
      </c>
      <c r="D601" s="7" t="s">
        <v>1046</v>
      </c>
      <c r="E601" s="12">
        <v>1</v>
      </c>
      <c r="F601" s="13">
        <v>0.00033</v>
      </c>
      <c r="G601" s="7"/>
      <c r="H601" s="7"/>
      <c r="I601" s="7"/>
      <c r="J601" s="7">
        <v>0</v>
      </c>
      <c r="K601" s="7">
        <v>0</v>
      </c>
      <c r="L601" s="7" t="s">
        <v>11</v>
      </c>
      <c r="M601" s="7" t="s">
        <v>11</v>
      </c>
      <c r="N601" s="17" t="s">
        <v>354</v>
      </c>
    </row>
    <row r="602" ht="17.25" customHeight="1" spans="1:14">
      <c r="A602" s="7"/>
      <c r="B602" s="7" t="s">
        <v>1047</v>
      </c>
      <c r="C602" s="7" t="s">
        <v>1048</v>
      </c>
      <c r="D602" s="7" t="s">
        <v>1049</v>
      </c>
      <c r="E602" s="12">
        <v>22</v>
      </c>
      <c r="F602" s="13">
        <v>0.00033</v>
      </c>
      <c r="G602" s="7"/>
      <c r="H602" s="7"/>
      <c r="I602" s="7"/>
      <c r="J602" s="7">
        <v>0</v>
      </c>
      <c r="K602" s="7">
        <v>0</v>
      </c>
      <c r="L602" s="7" t="s">
        <v>11</v>
      </c>
      <c r="M602" s="7" t="s">
        <v>11</v>
      </c>
      <c r="N602" s="17" t="s">
        <v>354</v>
      </c>
    </row>
    <row r="603" ht="17.25" customHeight="1" spans="1:14">
      <c r="A603" s="7"/>
      <c r="B603" s="7" t="s">
        <v>1050</v>
      </c>
      <c r="C603" s="7" t="s">
        <v>1051</v>
      </c>
      <c r="D603" s="7" t="s">
        <v>1052</v>
      </c>
      <c r="E603" s="12">
        <v>1</v>
      </c>
      <c r="F603" s="13">
        <v>0.00033</v>
      </c>
      <c r="G603" s="7"/>
      <c r="H603" s="7"/>
      <c r="I603" s="7"/>
      <c r="J603" s="7">
        <v>0</v>
      </c>
      <c r="K603" s="7">
        <v>0</v>
      </c>
      <c r="L603" s="7" t="s">
        <v>11</v>
      </c>
      <c r="M603" s="7" t="s">
        <v>11</v>
      </c>
      <c r="N603" s="17" t="s">
        <v>354</v>
      </c>
    </row>
    <row r="604" ht="17.25" customHeight="1" spans="1:14">
      <c r="A604" s="7"/>
      <c r="B604" s="7" t="s">
        <v>1053</v>
      </c>
      <c r="C604" s="7" t="s">
        <v>1054</v>
      </c>
      <c r="D604" s="7" t="s">
        <v>1055</v>
      </c>
      <c r="E604" s="12">
        <v>5</v>
      </c>
      <c r="F604" s="13">
        <v>0.00033</v>
      </c>
      <c r="G604" s="7"/>
      <c r="H604" s="7"/>
      <c r="I604" s="7"/>
      <c r="J604" s="7">
        <v>0</v>
      </c>
      <c r="K604" s="7">
        <v>0</v>
      </c>
      <c r="L604" s="7" t="s">
        <v>40</v>
      </c>
      <c r="M604" s="7" t="s">
        <v>40</v>
      </c>
      <c r="N604" s="17" t="s">
        <v>354</v>
      </c>
    </row>
    <row r="605" ht="17.25" customHeight="1" spans="1:14">
      <c r="A605" s="7"/>
      <c r="B605" s="7" t="s">
        <v>1056</v>
      </c>
      <c r="C605" s="7" t="s">
        <v>1057</v>
      </c>
      <c r="D605" s="7" t="s">
        <v>1058</v>
      </c>
      <c r="E605" s="12">
        <v>1</v>
      </c>
      <c r="F605" s="13">
        <v>0.00033</v>
      </c>
      <c r="G605" s="7"/>
      <c r="H605" s="7"/>
      <c r="I605" s="7"/>
      <c r="J605" s="7">
        <v>0</v>
      </c>
      <c r="K605" s="7">
        <v>0</v>
      </c>
      <c r="L605" s="7" t="s">
        <v>11</v>
      </c>
      <c r="M605" s="7" t="s">
        <v>11</v>
      </c>
      <c r="N605" s="17" t="s">
        <v>354</v>
      </c>
    </row>
    <row r="606" ht="17.25" customHeight="1" spans="1:14">
      <c r="A606" s="7"/>
      <c r="B606" s="7" t="s">
        <v>1059</v>
      </c>
      <c r="C606" s="7" t="s">
        <v>1060</v>
      </c>
      <c r="D606" s="7" t="s">
        <v>1061</v>
      </c>
      <c r="E606" s="12">
        <v>20</v>
      </c>
      <c r="F606" s="13">
        <v>0.00033</v>
      </c>
      <c r="G606" s="7"/>
      <c r="H606" s="7"/>
      <c r="I606" s="7"/>
      <c r="J606" s="7">
        <v>0</v>
      </c>
      <c r="K606" s="7">
        <v>0</v>
      </c>
      <c r="L606" s="7" t="s">
        <v>11</v>
      </c>
      <c r="M606" s="7" t="s">
        <v>11</v>
      </c>
      <c r="N606" s="17" t="s">
        <v>354</v>
      </c>
    </row>
    <row r="607" ht="17.25" customHeight="1" spans="1:14">
      <c r="A607" s="7"/>
      <c r="B607" s="7" t="s">
        <v>1062</v>
      </c>
      <c r="C607" s="7" t="s">
        <v>1063</v>
      </c>
      <c r="D607" s="7" t="s">
        <v>1064</v>
      </c>
      <c r="E607" s="12">
        <v>1</v>
      </c>
      <c r="F607" s="13">
        <v>0.00033</v>
      </c>
      <c r="G607" s="7"/>
      <c r="H607" s="7"/>
      <c r="I607" s="7"/>
      <c r="J607" s="7">
        <v>0</v>
      </c>
      <c r="K607" s="7">
        <v>0</v>
      </c>
      <c r="L607" s="7" t="s">
        <v>11</v>
      </c>
      <c r="M607" s="7" t="s">
        <v>11</v>
      </c>
      <c r="N607" s="17" t="s">
        <v>354</v>
      </c>
    </row>
    <row r="608" ht="17.25" customHeight="1" spans="1:14">
      <c r="A608" s="7"/>
      <c r="B608" s="7" t="s">
        <v>1065</v>
      </c>
      <c r="C608" s="7" t="s">
        <v>1066</v>
      </c>
      <c r="D608" s="7" t="s">
        <v>1067</v>
      </c>
      <c r="E608" s="12">
        <v>1</v>
      </c>
      <c r="F608" s="7"/>
      <c r="G608" s="7"/>
      <c r="H608" s="7"/>
      <c r="I608" s="7"/>
      <c r="J608" s="7"/>
      <c r="K608" s="7"/>
      <c r="L608" s="7"/>
      <c r="M608" s="7"/>
      <c r="N608" s="17"/>
    </row>
    <row r="609" ht="17.25" customHeight="1" spans="1:14">
      <c r="A609" s="7"/>
      <c r="B609" s="7" t="s">
        <v>1068</v>
      </c>
      <c r="C609" s="7" t="s">
        <v>1069</v>
      </c>
      <c r="D609" s="7" t="s">
        <v>1070</v>
      </c>
      <c r="E609" s="12">
        <v>1</v>
      </c>
      <c r="F609" s="7"/>
      <c r="G609" s="7"/>
      <c r="H609" s="7"/>
      <c r="I609" s="7"/>
      <c r="J609" s="7"/>
      <c r="K609" s="7"/>
      <c r="L609" s="7"/>
      <c r="M609" s="7"/>
      <c r="N609" s="17"/>
    </row>
    <row r="610" ht="17.25" customHeight="1" spans="1:14">
      <c r="A610" s="7"/>
      <c r="B610" s="7" t="s">
        <v>1071</v>
      </c>
      <c r="C610" s="7" t="s">
        <v>1072</v>
      </c>
      <c r="D610" s="7" t="s">
        <v>1073</v>
      </c>
      <c r="E610" s="12">
        <v>10</v>
      </c>
      <c r="F610" s="7"/>
      <c r="G610" s="7"/>
      <c r="H610" s="7"/>
      <c r="I610" s="7"/>
      <c r="J610" s="7"/>
      <c r="K610" s="7"/>
      <c r="L610" s="7"/>
      <c r="M610" s="7"/>
      <c r="N610" s="17"/>
    </row>
    <row r="611" ht="17.25" customHeight="1" spans="1:14">
      <c r="A611" s="7"/>
      <c r="B611" s="7" t="s">
        <v>1074</v>
      </c>
      <c r="C611" s="7" t="s">
        <v>1075</v>
      </c>
      <c r="D611" s="7" t="s">
        <v>1076</v>
      </c>
      <c r="E611" s="12">
        <v>66</v>
      </c>
      <c r="F611" s="7"/>
      <c r="G611" s="7"/>
      <c r="H611" s="7"/>
      <c r="I611" s="7"/>
      <c r="J611" s="7"/>
      <c r="K611" s="7"/>
      <c r="L611" s="7"/>
      <c r="M611" s="7"/>
      <c r="N611" s="17"/>
    </row>
    <row r="612" ht="17.25" customHeight="1" spans="1:14">
      <c r="A612" s="7"/>
      <c r="B612" s="7" t="s">
        <v>1077</v>
      </c>
      <c r="C612" s="7" t="s">
        <v>1078</v>
      </c>
      <c r="D612" s="7" t="s">
        <v>1079</v>
      </c>
      <c r="E612" s="12">
        <v>1</v>
      </c>
      <c r="F612" s="7"/>
      <c r="G612" s="7"/>
      <c r="H612" s="7"/>
      <c r="I612" s="7"/>
      <c r="J612" s="7"/>
      <c r="K612" s="7"/>
      <c r="L612" s="7"/>
      <c r="M612" s="7"/>
      <c r="N612" s="17"/>
    </row>
    <row r="613" ht="17.25" customHeight="1" spans="1:14">
      <c r="A613" s="7"/>
      <c r="B613" s="7" t="s">
        <v>1080</v>
      </c>
      <c r="C613" s="7" t="s">
        <v>1081</v>
      </c>
      <c r="D613" s="7" t="s">
        <v>1082</v>
      </c>
      <c r="E613" s="12">
        <v>3</v>
      </c>
      <c r="F613" s="7"/>
      <c r="G613" s="7"/>
      <c r="H613" s="7"/>
      <c r="I613" s="7"/>
      <c r="J613" s="7"/>
      <c r="K613" s="7"/>
      <c r="L613" s="7"/>
      <c r="M613" s="7"/>
      <c r="N613" s="17"/>
    </row>
    <row r="614" ht="17.25" customHeight="1" spans="1:14">
      <c r="A614" s="7"/>
      <c r="B614" s="7" t="s">
        <v>1083</v>
      </c>
      <c r="C614" s="7" t="s">
        <v>1084</v>
      </c>
      <c r="D614" s="7" t="s">
        <v>1085</v>
      </c>
      <c r="E614" s="12">
        <v>2</v>
      </c>
      <c r="F614" s="7"/>
      <c r="G614" s="7"/>
      <c r="H614" s="7"/>
      <c r="I614" s="7"/>
      <c r="J614" s="7"/>
      <c r="K614" s="7"/>
      <c r="L614" s="7"/>
      <c r="M614" s="7"/>
      <c r="N614" s="17"/>
    </row>
    <row r="615" ht="17.25" customHeight="1" spans="1:14">
      <c r="A615" s="7"/>
      <c r="B615" s="7" t="s">
        <v>992</v>
      </c>
      <c r="C615" s="7" t="s">
        <v>993</v>
      </c>
      <c r="D615" s="7" t="s">
        <v>994</v>
      </c>
      <c r="E615" s="12">
        <v>1</v>
      </c>
      <c r="F615" s="7"/>
      <c r="G615" s="7"/>
      <c r="H615" s="7"/>
      <c r="I615" s="7"/>
      <c r="J615" s="7"/>
      <c r="K615" s="7"/>
      <c r="L615" s="7"/>
      <c r="M615" s="7"/>
      <c r="N615" s="17"/>
    </row>
    <row r="616" ht="17.25" customHeight="1" spans="1:14">
      <c r="A616" s="9"/>
      <c r="B616" s="9" t="s">
        <v>995</v>
      </c>
      <c r="C616" s="9"/>
      <c r="D616" s="9"/>
      <c r="E616" s="14">
        <v>1</v>
      </c>
      <c r="F616" s="9">
        <f>E616*SUMPRODUCT(F586:F615*E586:E615)</f>
        <v>0.06831</v>
      </c>
      <c r="G616" s="10" t="s">
        <v>121</v>
      </c>
      <c r="H616" s="10" t="s">
        <v>121</v>
      </c>
      <c r="I616" s="10" t="s">
        <v>121</v>
      </c>
      <c r="J616" s="9">
        <f>E616*SUMPRODUCT(J586:J615*E586:E615)</f>
        <v>0</v>
      </c>
      <c r="K616" s="9">
        <f>E616*SUMPRODUCT(K586:K615*E586:E615)</f>
        <v>0</v>
      </c>
      <c r="L616" s="9"/>
      <c r="M616" s="9"/>
      <c r="N616" s="18"/>
    </row>
    <row r="617" ht="17.25" customHeight="1" spans="1:14">
      <c r="A617" s="9"/>
      <c r="B617" s="9" t="s">
        <v>122</v>
      </c>
      <c r="C617" s="9" t="s">
        <v>995</v>
      </c>
      <c r="D617" s="10" t="s">
        <v>17</v>
      </c>
      <c r="E617" s="14">
        <v>1</v>
      </c>
      <c r="F617" s="9">
        <f>E617*SUMPRODUCT(F586:F615*E586:E615)</f>
        <v>0.06831</v>
      </c>
      <c r="G617" s="10">
        <v>0</v>
      </c>
      <c r="H617" s="10">
        <v>0</v>
      </c>
      <c r="I617" s="10">
        <v>0</v>
      </c>
      <c r="J617" s="9">
        <f>E617*SUMPRODUCT(J586:J615*E586:E615)</f>
        <v>0</v>
      </c>
      <c r="K617" s="9">
        <f>E617*SUMPRODUCT(K586:K615*E586:E615)</f>
        <v>0</v>
      </c>
      <c r="L617" s="9"/>
      <c r="M617" s="9"/>
      <c r="N617" s="18"/>
    </row>
    <row r="618" ht="17.25" customHeight="1" spans="1:14">
      <c r="A618" s="9"/>
      <c r="B618" s="9" t="s">
        <v>123</v>
      </c>
      <c r="C618" s="9" t="s">
        <v>997</v>
      </c>
      <c r="D618" s="9"/>
      <c r="E618" s="14"/>
      <c r="F618" s="9"/>
      <c r="G618" s="9">
        <f>G617</f>
        <v>0</v>
      </c>
      <c r="H618" s="9">
        <f>H617</f>
        <v>0</v>
      </c>
      <c r="I618" s="9">
        <f>I617</f>
        <v>0</v>
      </c>
      <c r="J618" s="9">
        <f>J617</f>
        <v>0</v>
      </c>
      <c r="K618" s="9">
        <f>K617</f>
        <v>0</v>
      </c>
      <c r="L618" s="9"/>
      <c r="M618" s="9"/>
      <c r="N618" s="19"/>
    </row>
    <row r="619" ht="23" customHeight="1" spans="1:14">
      <c r="A619" s="6" t="s">
        <v>1086</v>
      </c>
      <c r="B619" s="6" t="s">
        <v>1087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16"/>
    </row>
    <row r="620" ht="17.25" customHeight="1" spans="1:14">
      <c r="A620" s="7"/>
      <c r="B620" s="7" t="s">
        <v>1088</v>
      </c>
      <c r="C620" s="7" t="s">
        <v>1089</v>
      </c>
      <c r="D620" s="7" t="s">
        <v>1090</v>
      </c>
      <c r="E620" s="12">
        <v>405</v>
      </c>
      <c r="F620" s="13">
        <v>0.00033</v>
      </c>
      <c r="G620" s="7"/>
      <c r="H620" s="7"/>
      <c r="I620" s="7"/>
      <c r="J620" s="7">
        <v>0</v>
      </c>
      <c r="K620" s="7">
        <v>0</v>
      </c>
      <c r="L620" s="7" t="s">
        <v>11</v>
      </c>
      <c r="M620" s="7" t="s">
        <v>11</v>
      </c>
      <c r="N620" s="17" t="s">
        <v>354</v>
      </c>
    </row>
    <row r="621" ht="17.25" customHeight="1" spans="1:14">
      <c r="A621" s="9"/>
      <c r="B621" s="9" t="s">
        <v>123</v>
      </c>
      <c r="C621" s="9" t="s">
        <v>1087</v>
      </c>
      <c r="D621" s="9"/>
      <c r="E621" s="14">
        <v>1</v>
      </c>
      <c r="F621" s="9"/>
      <c r="G621" s="9">
        <f>E621*(SUMPRODUCT(E620:E620*G620:G620))</f>
        <v>0</v>
      </c>
      <c r="H621" s="9">
        <f>E621*(SUMPRODUCT(E620:E620*H620:H620))</f>
        <v>0</v>
      </c>
      <c r="I621" s="9">
        <f>E621*(SUMPRODUCT(E620:E620*I620:I620))</f>
        <v>0</v>
      </c>
      <c r="J621" s="9">
        <f>E621*(SUMPRODUCT(E620:E620*J620:J620))</f>
        <v>0</v>
      </c>
      <c r="K621" s="9">
        <f>E621*(SUMPRODUCT(E620:E620*K620:K620))</f>
        <v>0</v>
      </c>
      <c r="L621" s="9"/>
      <c r="M621" s="9"/>
      <c r="N621" s="19"/>
    </row>
    <row r="622" ht="23" customHeight="1" spans="1:14">
      <c r="A622" s="6" t="s">
        <v>1091</v>
      </c>
      <c r="B622" s="6" t="s">
        <v>1092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16"/>
    </row>
    <row r="623" ht="17.25" customHeight="1" spans="1:14">
      <c r="A623" s="7"/>
      <c r="B623" s="7" t="s">
        <v>1093</v>
      </c>
      <c r="C623" s="7" t="s">
        <v>1094</v>
      </c>
      <c r="D623" s="7" t="s">
        <v>1095</v>
      </c>
      <c r="E623" s="12">
        <v>1</v>
      </c>
      <c r="F623" s="7"/>
      <c r="G623" s="7"/>
      <c r="H623" s="7"/>
      <c r="I623" s="7"/>
      <c r="J623" s="7"/>
      <c r="K623" s="7"/>
      <c r="L623" s="7"/>
      <c r="M623" s="7"/>
      <c r="N623" s="17"/>
    </row>
    <row r="624" ht="17.25" customHeight="1" spans="1:14">
      <c r="A624" s="9"/>
      <c r="B624" s="9" t="s">
        <v>123</v>
      </c>
      <c r="C624" s="9" t="s">
        <v>1092</v>
      </c>
      <c r="D624" s="9"/>
      <c r="E624" s="14">
        <v>2</v>
      </c>
      <c r="F624" s="9"/>
      <c r="G624" s="9">
        <f>E624*(0)</f>
        <v>0</v>
      </c>
      <c r="H624" s="9">
        <f>E624*(0)</f>
        <v>0</v>
      </c>
      <c r="I624" s="9">
        <f>E624*(0)</f>
        <v>0</v>
      </c>
      <c r="J624" s="9">
        <f>E624*(0)</f>
        <v>0</v>
      </c>
      <c r="K624" s="9">
        <f>E624*(0)</f>
        <v>0</v>
      </c>
      <c r="L624" s="9"/>
      <c r="M624" s="9"/>
      <c r="N624" s="19"/>
    </row>
    <row r="625" ht="23" customHeight="1" spans="1:14">
      <c r="A625" s="6" t="s">
        <v>1096</v>
      </c>
      <c r="B625" s="6" t="s">
        <v>1097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16"/>
    </row>
    <row r="626" ht="17.25" customHeight="1" spans="1:14">
      <c r="A626" s="7" t="s">
        <v>1098</v>
      </c>
      <c r="B626" s="8" t="s">
        <v>1099</v>
      </c>
      <c r="C626" s="8"/>
      <c r="D626" s="7"/>
      <c r="E626" s="12"/>
      <c r="F626" s="7"/>
      <c r="G626" s="7"/>
      <c r="J626" s="7"/>
      <c r="K626" s="7"/>
      <c r="L626" s="7"/>
      <c r="M626" s="7"/>
      <c r="N626" s="17"/>
    </row>
    <row r="627" ht="17.25" customHeight="1" spans="1:14">
      <c r="A627" s="7"/>
      <c r="B627" s="7" t="s">
        <v>1100</v>
      </c>
      <c r="C627" s="7" t="s">
        <v>1101</v>
      </c>
      <c r="D627" s="7" t="s">
        <v>1102</v>
      </c>
      <c r="E627" s="12">
        <v>1</v>
      </c>
      <c r="F627" s="13">
        <v>0.15249792</v>
      </c>
      <c r="G627" s="7"/>
      <c r="H627" s="7"/>
      <c r="I627" s="7"/>
      <c r="J627" s="7">
        <v>12.65</v>
      </c>
      <c r="K627" s="7">
        <v>8.85</v>
      </c>
      <c r="L627" s="7" t="s">
        <v>724</v>
      </c>
      <c r="M627" s="7" t="s">
        <v>725</v>
      </c>
      <c r="N627" s="17" t="s">
        <v>941</v>
      </c>
    </row>
    <row r="628" ht="17.25" customHeight="1" spans="1:14">
      <c r="A628" s="7"/>
      <c r="B628" s="7" t="s">
        <v>1103</v>
      </c>
      <c r="C628" s="7" t="s">
        <v>1104</v>
      </c>
      <c r="D628" s="7" t="s">
        <v>1105</v>
      </c>
      <c r="E628" s="12">
        <v>2</v>
      </c>
      <c r="F628" s="13"/>
      <c r="G628" s="7"/>
      <c r="H628" s="7"/>
      <c r="I628" s="7"/>
      <c r="J628" s="7">
        <v>0.15</v>
      </c>
      <c r="K628" s="7">
        <v>0.15</v>
      </c>
      <c r="L628" s="7" t="s">
        <v>11</v>
      </c>
      <c r="M628" s="7" t="s">
        <v>40</v>
      </c>
      <c r="N628" s="17" t="s">
        <v>68</v>
      </c>
    </row>
    <row r="629" ht="17.25" customHeight="1" spans="1:14">
      <c r="A629" s="7"/>
      <c r="B629" s="7" t="s">
        <v>1106</v>
      </c>
      <c r="C629" s="7" t="s">
        <v>1107</v>
      </c>
      <c r="D629" s="7" t="s">
        <v>390</v>
      </c>
      <c r="E629" s="12">
        <v>8</v>
      </c>
      <c r="F629" s="13"/>
      <c r="G629" s="7"/>
      <c r="H629" s="7"/>
      <c r="I629" s="7"/>
      <c r="J629" s="7">
        <v>0.02</v>
      </c>
      <c r="K629" s="7">
        <v>0.02</v>
      </c>
      <c r="L629" s="7" t="s">
        <v>40</v>
      </c>
      <c r="M629" s="7" t="s">
        <v>11</v>
      </c>
      <c r="N629" s="17" t="s">
        <v>45</v>
      </c>
    </row>
    <row r="630" ht="17.25" customHeight="1" spans="1:14">
      <c r="A630" s="7"/>
      <c r="B630" s="7" t="s">
        <v>1108</v>
      </c>
      <c r="C630" s="7" t="s">
        <v>1109</v>
      </c>
      <c r="D630" s="7" t="s">
        <v>1110</v>
      </c>
      <c r="E630" s="12">
        <v>1</v>
      </c>
      <c r="F630" s="13"/>
      <c r="G630" s="7"/>
      <c r="H630" s="7"/>
      <c r="I630" s="7"/>
      <c r="J630" s="7">
        <v>0.3</v>
      </c>
      <c r="K630" s="7">
        <v>0.3</v>
      </c>
      <c r="L630" s="7" t="s">
        <v>11</v>
      </c>
      <c r="M630" s="7" t="s">
        <v>11</v>
      </c>
      <c r="N630" s="17" t="s">
        <v>479</v>
      </c>
    </row>
    <row r="631" ht="17.25" customHeight="1" spans="1:14">
      <c r="A631" s="7"/>
      <c r="B631" s="7" t="s">
        <v>1111</v>
      </c>
      <c r="C631" s="7" t="s">
        <v>1112</v>
      </c>
      <c r="D631" s="7" t="s">
        <v>1113</v>
      </c>
      <c r="E631" s="12">
        <v>1</v>
      </c>
      <c r="F631" s="13"/>
      <c r="G631" s="7"/>
      <c r="H631" s="7"/>
      <c r="I631" s="7"/>
      <c r="J631" s="7">
        <v>0.27</v>
      </c>
      <c r="K631" s="7">
        <v>0.27</v>
      </c>
      <c r="L631" s="7" t="s">
        <v>11</v>
      </c>
      <c r="M631" s="7" t="s">
        <v>11</v>
      </c>
      <c r="N631" s="17" t="s">
        <v>394</v>
      </c>
    </row>
    <row r="632" ht="17.25" customHeight="1" spans="1:14">
      <c r="A632" s="7"/>
      <c r="B632" s="7" t="s">
        <v>1114</v>
      </c>
      <c r="C632" s="7" t="s">
        <v>1115</v>
      </c>
      <c r="D632" s="7" t="s">
        <v>1116</v>
      </c>
      <c r="E632" s="12">
        <v>5</v>
      </c>
      <c r="F632" s="13"/>
      <c r="G632" s="7"/>
      <c r="H632" s="7"/>
      <c r="I632" s="7"/>
      <c r="J632" s="7">
        <v>0.3</v>
      </c>
      <c r="K632" s="7">
        <v>0.3</v>
      </c>
      <c r="L632" s="7" t="s">
        <v>11</v>
      </c>
      <c r="M632" s="7" t="s">
        <v>11</v>
      </c>
      <c r="N632" s="17" t="s">
        <v>138</v>
      </c>
    </row>
    <row r="633" ht="17.25" customHeight="1" spans="1:14">
      <c r="A633" s="7"/>
      <c r="B633" s="7" t="s">
        <v>1117</v>
      </c>
      <c r="C633" s="7" t="s">
        <v>1118</v>
      </c>
      <c r="D633" s="7" t="s">
        <v>1119</v>
      </c>
      <c r="E633" s="12">
        <v>2</v>
      </c>
      <c r="F633" s="13"/>
      <c r="G633" s="7"/>
      <c r="H633" s="7"/>
      <c r="I633" s="7"/>
      <c r="J633" s="7">
        <v>0.16</v>
      </c>
      <c r="K633" s="7">
        <v>0.16</v>
      </c>
      <c r="L633" s="7" t="s">
        <v>11</v>
      </c>
      <c r="M633" s="7" t="s">
        <v>11</v>
      </c>
      <c r="N633" s="17" t="s">
        <v>11</v>
      </c>
    </row>
    <row r="634" ht="17.25" customHeight="1" spans="1:14">
      <c r="A634" s="7"/>
      <c r="B634" s="7" t="s">
        <v>411</v>
      </c>
      <c r="C634" s="7" t="s">
        <v>412</v>
      </c>
      <c r="D634" s="7" t="s">
        <v>413</v>
      </c>
      <c r="E634" s="12">
        <v>1</v>
      </c>
      <c r="F634" s="13"/>
      <c r="G634" s="7"/>
      <c r="H634" s="7"/>
      <c r="I634" s="7"/>
      <c r="J634" s="7">
        <v>0.55</v>
      </c>
      <c r="K634" s="7">
        <v>0.55</v>
      </c>
      <c r="L634" s="7" t="s">
        <v>11</v>
      </c>
      <c r="M634" s="7" t="s">
        <v>11</v>
      </c>
      <c r="N634" s="17" t="s">
        <v>52</v>
      </c>
    </row>
    <row r="635" ht="17.25" customHeight="1" spans="1:14">
      <c r="A635" s="7"/>
      <c r="B635" s="7" t="s">
        <v>1120</v>
      </c>
      <c r="C635" s="7" t="s">
        <v>1121</v>
      </c>
      <c r="D635" s="7" t="s">
        <v>1122</v>
      </c>
      <c r="E635" s="12">
        <v>1</v>
      </c>
      <c r="F635" s="13"/>
      <c r="G635" s="7"/>
      <c r="H635" s="7"/>
      <c r="I635" s="7"/>
      <c r="J635" s="7">
        <v>0.107</v>
      </c>
      <c r="K635" s="7">
        <v>0.107</v>
      </c>
      <c r="L635" s="7" t="s">
        <v>11</v>
      </c>
      <c r="M635" s="7" t="s">
        <v>11</v>
      </c>
      <c r="N635" s="17" t="s">
        <v>11</v>
      </c>
    </row>
    <row r="636" ht="17.25" customHeight="1" spans="1:14">
      <c r="A636" s="7"/>
      <c r="B636" s="7" t="s">
        <v>1123</v>
      </c>
      <c r="C636" s="7" t="s">
        <v>1124</v>
      </c>
      <c r="D636" s="7" t="s">
        <v>1125</v>
      </c>
      <c r="E636" s="12">
        <v>1</v>
      </c>
      <c r="F636" s="13"/>
      <c r="G636" s="7"/>
      <c r="H636" s="7"/>
      <c r="I636" s="7"/>
      <c r="J636" s="7">
        <v>0.199</v>
      </c>
      <c r="K636" s="7">
        <v>0.199</v>
      </c>
      <c r="L636" s="7" t="s">
        <v>11</v>
      </c>
      <c r="M636" s="7" t="s">
        <v>11</v>
      </c>
      <c r="N636" s="17" t="s">
        <v>68</v>
      </c>
    </row>
    <row r="637" ht="17.25" customHeight="1" spans="1:14">
      <c r="A637" s="7"/>
      <c r="B637" s="7" t="s">
        <v>62</v>
      </c>
      <c r="C637" s="7" t="s">
        <v>63</v>
      </c>
      <c r="D637" s="7" t="s">
        <v>64</v>
      </c>
      <c r="E637" s="12">
        <v>2</v>
      </c>
      <c r="F637" s="13"/>
      <c r="G637" s="7"/>
      <c r="H637" s="7"/>
      <c r="I637" s="7"/>
      <c r="J637" s="7">
        <v>0.11</v>
      </c>
      <c r="K637" s="7">
        <v>0.11</v>
      </c>
      <c r="L637" s="7" t="s">
        <v>11</v>
      </c>
      <c r="M637" s="7" t="s">
        <v>11</v>
      </c>
      <c r="N637" s="17" t="s">
        <v>11</v>
      </c>
    </row>
    <row r="638" ht="17.25" customHeight="1" spans="1:14">
      <c r="A638" s="7"/>
      <c r="B638" s="7" t="s">
        <v>495</v>
      </c>
      <c r="C638" s="7" t="s">
        <v>496</v>
      </c>
      <c r="D638" s="7" t="s">
        <v>497</v>
      </c>
      <c r="E638" s="12">
        <v>1</v>
      </c>
      <c r="F638" s="13"/>
      <c r="G638" s="7"/>
      <c r="H638" s="7"/>
      <c r="I638" s="7"/>
      <c r="J638" s="7">
        <v>0.098</v>
      </c>
      <c r="K638" s="7">
        <v>0.098</v>
      </c>
      <c r="L638" s="7" t="s">
        <v>11</v>
      </c>
      <c r="M638" s="7" t="s">
        <v>11</v>
      </c>
      <c r="N638" s="17" t="s">
        <v>146</v>
      </c>
    </row>
    <row r="639" ht="17.25" customHeight="1" spans="1:14">
      <c r="A639" s="7"/>
      <c r="B639" s="7" t="s">
        <v>69</v>
      </c>
      <c r="C639" s="7" t="s">
        <v>70</v>
      </c>
      <c r="D639" s="7" t="s">
        <v>71</v>
      </c>
      <c r="E639" s="12">
        <v>4</v>
      </c>
      <c r="F639" s="13"/>
      <c r="G639" s="7"/>
      <c r="H639" s="7"/>
      <c r="I639" s="7"/>
      <c r="J639" s="7">
        <v>0.03</v>
      </c>
      <c r="K639" s="7">
        <v>0.03</v>
      </c>
      <c r="L639" s="7" t="s">
        <v>11</v>
      </c>
      <c r="M639" s="7" t="s">
        <v>11</v>
      </c>
      <c r="N639" s="17" t="s">
        <v>72</v>
      </c>
    </row>
    <row r="640" ht="17.25" customHeight="1" spans="1:14">
      <c r="A640" s="7"/>
      <c r="B640" s="7" t="s">
        <v>1126</v>
      </c>
      <c r="C640" s="7" t="s">
        <v>1127</v>
      </c>
      <c r="D640" s="7" t="s">
        <v>1128</v>
      </c>
      <c r="E640" s="12">
        <v>2</v>
      </c>
      <c r="F640" s="13"/>
      <c r="G640" s="7"/>
      <c r="H640" s="7"/>
      <c r="I640" s="7"/>
      <c r="J640" s="7">
        <v>0.91</v>
      </c>
      <c r="K640" s="7">
        <v>0.91</v>
      </c>
      <c r="L640" s="7" t="s">
        <v>11</v>
      </c>
      <c r="M640" s="7" t="s">
        <v>11</v>
      </c>
      <c r="N640" s="17" t="s">
        <v>68</v>
      </c>
    </row>
    <row r="641" ht="17.25" customHeight="1" spans="1:14">
      <c r="A641" s="7"/>
      <c r="B641" s="7" t="s">
        <v>1129</v>
      </c>
      <c r="C641" s="7" t="s">
        <v>1130</v>
      </c>
      <c r="D641" s="7" t="s">
        <v>1131</v>
      </c>
      <c r="E641" s="12">
        <v>6</v>
      </c>
      <c r="F641" s="13"/>
      <c r="G641" s="7"/>
      <c r="H641" s="7"/>
      <c r="I641" s="7"/>
      <c r="J641" s="7">
        <v>0.55</v>
      </c>
      <c r="K641" s="7">
        <v>0.55</v>
      </c>
      <c r="L641" s="7" t="s">
        <v>11</v>
      </c>
      <c r="M641" s="7" t="s">
        <v>11</v>
      </c>
      <c r="N641" s="17" t="s">
        <v>1132</v>
      </c>
    </row>
    <row r="642" ht="17.25" customHeight="1" spans="1:14">
      <c r="A642" s="7"/>
      <c r="B642" s="7" t="s">
        <v>1133</v>
      </c>
      <c r="C642" s="7" t="s">
        <v>1134</v>
      </c>
      <c r="D642" s="7" t="s">
        <v>282</v>
      </c>
      <c r="E642" s="12">
        <v>2</v>
      </c>
      <c r="F642" s="13"/>
      <c r="G642" s="7"/>
      <c r="H642" s="7"/>
      <c r="I642" s="7"/>
      <c r="J642" s="7">
        <v>0.4</v>
      </c>
      <c r="K642" s="7">
        <v>0.4</v>
      </c>
      <c r="L642" s="7" t="s">
        <v>11</v>
      </c>
      <c r="M642" s="7" t="s">
        <v>40</v>
      </c>
      <c r="N642" s="17" t="s">
        <v>11</v>
      </c>
    </row>
    <row r="643" ht="17.25" customHeight="1" spans="1:14">
      <c r="A643" s="7"/>
      <c r="B643" s="7" t="s">
        <v>1135</v>
      </c>
      <c r="C643" s="7" t="s">
        <v>1136</v>
      </c>
      <c r="D643" s="7" t="s">
        <v>515</v>
      </c>
      <c r="E643" s="12">
        <v>1</v>
      </c>
      <c r="F643" s="13"/>
      <c r="G643" s="7"/>
      <c r="H643" s="7"/>
      <c r="I643" s="7"/>
      <c r="J643" s="7">
        <v>3.78</v>
      </c>
      <c r="K643" s="7">
        <v>3.78</v>
      </c>
      <c r="L643" s="7" t="s">
        <v>11</v>
      </c>
      <c r="M643" s="7" t="s">
        <v>40</v>
      </c>
      <c r="N643" s="17" t="s">
        <v>101</v>
      </c>
    </row>
    <row r="644" ht="17.25" customHeight="1" spans="1:14">
      <c r="A644" s="7"/>
      <c r="B644" s="7" t="s">
        <v>1137</v>
      </c>
      <c r="C644" s="7" t="s">
        <v>1138</v>
      </c>
      <c r="D644" s="7" t="s">
        <v>1139</v>
      </c>
      <c r="E644" s="12">
        <v>1</v>
      </c>
      <c r="F644" s="13"/>
      <c r="G644" s="7"/>
      <c r="H644" s="7"/>
      <c r="I644" s="7"/>
      <c r="J644" s="7">
        <v>0.01</v>
      </c>
      <c r="K644" s="7">
        <v>0.01</v>
      </c>
      <c r="L644" s="7" t="s">
        <v>11</v>
      </c>
      <c r="M644" s="7" t="s">
        <v>11</v>
      </c>
      <c r="N644" s="17" t="s">
        <v>11</v>
      </c>
    </row>
    <row r="645" ht="17.25" customHeight="1" spans="1:14">
      <c r="A645" s="7"/>
      <c r="B645" s="7" t="s">
        <v>1140</v>
      </c>
      <c r="C645" s="7" t="s">
        <v>1141</v>
      </c>
      <c r="D645" s="7" t="s">
        <v>1142</v>
      </c>
      <c r="E645" s="12">
        <v>1</v>
      </c>
      <c r="F645" s="13"/>
      <c r="G645" s="7"/>
      <c r="H645" s="7"/>
      <c r="I645" s="7"/>
      <c r="J645" s="7">
        <v>0.02</v>
      </c>
      <c r="K645" s="7">
        <v>0.02</v>
      </c>
      <c r="L645" s="7" t="s">
        <v>11</v>
      </c>
      <c r="M645" s="7" t="s">
        <v>11</v>
      </c>
      <c r="N645" s="17" t="s">
        <v>11</v>
      </c>
    </row>
    <row r="646" ht="17.25" customHeight="1" spans="1:14">
      <c r="A646" s="7"/>
      <c r="B646" s="7" t="s">
        <v>1143</v>
      </c>
      <c r="C646" s="7" t="s">
        <v>1144</v>
      </c>
      <c r="D646" s="7" t="s">
        <v>1145</v>
      </c>
      <c r="E646" s="12">
        <v>1</v>
      </c>
      <c r="F646" s="13"/>
      <c r="G646" s="7"/>
      <c r="H646" s="7"/>
      <c r="I646" s="7"/>
      <c r="J646" s="7">
        <v>0.02</v>
      </c>
      <c r="K646" s="7">
        <v>0.02</v>
      </c>
      <c r="L646" s="7" t="s">
        <v>11</v>
      </c>
      <c r="M646" s="7" t="s">
        <v>11</v>
      </c>
      <c r="N646" s="17" t="s">
        <v>11</v>
      </c>
    </row>
    <row r="647" ht="17.25" customHeight="1" spans="1:14">
      <c r="A647" s="7"/>
      <c r="B647" s="7" t="s">
        <v>447</v>
      </c>
      <c r="C647" s="7" t="s">
        <v>448</v>
      </c>
      <c r="D647" s="7" t="s">
        <v>449</v>
      </c>
      <c r="E647" s="12">
        <v>1</v>
      </c>
      <c r="F647" s="13"/>
      <c r="G647" s="7"/>
      <c r="H647" s="7"/>
      <c r="I647" s="7"/>
      <c r="J647" s="7">
        <v>0.01</v>
      </c>
      <c r="K647" s="7">
        <v>0.01</v>
      </c>
      <c r="L647" s="7" t="s">
        <v>11</v>
      </c>
      <c r="M647" s="7" t="s">
        <v>11</v>
      </c>
      <c r="N647" s="17" t="s">
        <v>11</v>
      </c>
    </row>
    <row r="648" ht="17.25" customHeight="1" spans="1:14">
      <c r="A648" s="7"/>
      <c r="B648" s="7" t="s">
        <v>444</v>
      </c>
      <c r="C648" s="7" t="s">
        <v>445</v>
      </c>
      <c r="D648" s="7" t="s">
        <v>446</v>
      </c>
      <c r="E648" s="12">
        <v>1</v>
      </c>
      <c r="F648" s="13"/>
      <c r="G648" s="7"/>
      <c r="H648" s="7"/>
      <c r="I648" s="7"/>
      <c r="J648" s="7">
        <v>0.01</v>
      </c>
      <c r="K648" s="7">
        <v>0.01</v>
      </c>
      <c r="L648" s="7" t="s">
        <v>11</v>
      </c>
      <c r="M648" s="7" t="s">
        <v>11</v>
      </c>
      <c r="N648" s="17" t="s">
        <v>11</v>
      </c>
    </row>
    <row r="649" ht="17.25" customHeight="1" spans="1:14">
      <c r="A649" s="7"/>
      <c r="B649" s="7" t="s">
        <v>1146</v>
      </c>
      <c r="C649" s="7" t="s">
        <v>1147</v>
      </c>
      <c r="D649" s="7" t="s">
        <v>1148</v>
      </c>
      <c r="E649" s="12">
        <v>1</v>
      </c>
      <c r="F649" s="13"/>
      <c r="G649" s="7"/>
      <c r="H649" s="7"/>
      <c r="I649" s="7"/>
      <c r="J649" s="7">
        <v>0.04</v>
      </c>
      <c r="K649" s="7">
        <v>0.04</v>
      </c>
      <c r="L649" s="7" t="s">
        <v>11</v>
      </c>
      <c r="M649" s="7" t="s">
        <v>11</v>
      </c>
      <c r="N649" s="17" t="s">
        <v>11</v>
      </c>
    </row>
    <row r="650" ht="17.25" customHeight="1" spans="1:14">
      <c r="A650" s="7"/>
      <c r="B650" s="7" t="s">
        <v>1149</v>
      </c>
      <c r="C650" s="7" t="s">
        <v>1150</v>
      </c>
      <c r="D650" s="7" t="s">
        <v>1151</v>
      </c>
      <c r="E650" s="12">
        <v>1</v>
      </c>
      <c r="F650" s="13"/>
      <c r="G650" s="7"/>
      <c r="H650" s="7"/>
      <c r="I650" s="7"/>
      <c r="J650" s="7">
        <v>0.06</v>
      </c>
      <c r="K650" s="7">
        <v>0.06</v>
      </c>
      <c r="L650" s="7" t="s">
        <v>11</v>
      </c>
      <c r="M650" s="7" t="s">
        <v>11</v>
      </c>
      <c r="N650" s="17" t="s">
        <v>11</v>
      </c>
    </row>
    <row r="651" ht="17.25" customHeight="1" spans="1:14">
      <c r="A651" s="7"/>
      <c r="B651" s="7" t="s">
        <v>1152</v>
      </c>
      <c r="C651" s="7" t="s">
        <v>1153</v>
      </c>
      <c r="D651" s="7" t="s">
        <v>1154</v>
      </c>
      <c r="E651" s="12">
        <v>6</v>
      </c>
      <c r="F651" s="7"/>
      <c r="G651" s="7"/>
      <c r="H651" s="7"/>
      <c r="I651" s="7"/>
      <c r="J651" s="7"/>
      <c r="K651" s="7"/>
      <c r="L651" s="7"/>
      <c r="M651" s="7"/>
      <c r="N651" s="17"/>
    </row>
    <row r="652" ht="17.25" customHeight="1" spans="1:14">
      <c r="A652" s="7"/>
      <c r="B652" s="7" t="s">
        <v>117</v>
      </c>
      <c r="C652" s="7" t="s">
        <v>118</v>
      </c>
      <c r="D652" s="7" t="s">
        <v>119</v>
      </c>
      <c r="E652" s="12">
        <v>1</v>
      </c>
      <c r="F652" s="7"/>
      <c r="G652" s="7"/>
      <c r="H652" s="7"/>
      <c r="I652" s="7"/>
      <c r="J652" s="7"/>
      <c r="K652" s="7"/>
      <c r="L652" s="7"/>
      <c r="M652" s="7"/>
      <c r="N652" s="17"/>
    </row>
    <row r="653" ht="17.25" customHeight="1" spans="1:14">
      <c r="A653" s="9"/>
      <c r="B653" s="9" t="s">
        <v>1099</v>
      </c>
      <c r="C653" s="9"/>
      <c r="D653" s="10" t="s">
        <v>120</v>
      </c>
      <c r="E653" s="14">
        <v>1</v>
      </c>
      <c r="F653" s="9">
        <f>SUMPRODUCT(F627:F652*E627:E652)</f>
        <v>0.15249792</v>
      </c>
      <c r="G653" s="10" t="s">
        <v>121</v>
      </c>
      <c r="H653" s="10" t="s">
        <v>121</v>
      </c>
      <c r="I653" s="10" t="s">
        <v>121</v>
      </c>
      <c r="J653" s="9">
        <f>SUMPRODUCT(J627:J652*E627:E652)</f>
        <v>26.664</v>
      </c>
      <c r="K653" s="9">
        <f>SUMPRODUCT(K627:K652*E627:E652)</f>
        <v>22.864</v>
      </c>
      <c r="L653" s="9"/>
      <c r="M653" s="9"/>
      <c r="N653" s="18"/>
    </row>
    <row r="654" ht="17.25" customHeight="1" spans="1:14">
      <c r="A654" s="9"/>
      <c r="B654" s="9" t="s">
        <v>122</v>
      </c>
      <c r="C654" s="9" t="s">
        <v>1099</v>
      </c>
      <c r="D654" s="10" t="s">
        <v>17</v>
      </c>
      <c r="E654" s="14">
        <v>3</v>
      </c>
      <c r="F654" s="9">
        <f>E654*SUMPRODUCT(F627:F652*E627:E652)</f>
        <v>0.45749376</v>
      </c>
      <c r="G654" s="10">
        <v>0</v>
      </c>
      <c r="H654" s="10">
        <v>0</v>
      </c>
      <c r="I654" s="10">
        <v>0</v>
      </c>
      <c r="J654" s="9">
        <f>E654*SUMPRODUCT(J627:J652*E627:E652)</f>
        <v>79.992</v>
      </c>
      <c r="K654" s="9">
        <f>E654*SUMPRODUCT(K627:K652*E627:E652)</f>
        <v>68.592</v>
      </c>
      <c r="L654" s="9"/>
      <c r="M654" s="9"/>
      <c r="N654" s="18"/>
    </row>
    <row r="655" ht="17.25" customHeight="1" spans="1:14">
      <c r="A655" s="9"/>
      <c r="B655" s="9" t="s">
        <v>123</v>
      </c>
      <c r="C655" s="9" t="s">
        <v>1097</v>
      </c>
      <c r="D655" s="9"/>
      <c r="E655" s="14"/>
      <c r="F655" s="9"/>
      <c r="G655" s="9">
        <f>G654</f>
        <v>0</v>
      </c>
      <c r="H655" s="9">
        <f>H654</f>
        <v>0</v>
      </c>
      <c r="I655" s="9">
        <f>I654</f>
        <v>0</v>
      </c>
      <c r="J655" s="9">
        <f>J654</f>
        <v>79.992</v>
      </c>
      <c r="K655" s="9">
        <f>K654</f>
        <v>68.592</v>
      </c>
      <c r="L655" s="9"/>
      <c r="M655" s="9"/>
      <c r="N655" s="19"/>
    </row>
    <row r="656" ht="17.25" customHeight="1" spans="1:14">
      <c r="A656" s="9"/>
      <c r="B656" s="9" t="s">
        <v>1155</v>
      </c>
      <c r="C656" s="9"/>
      <c r="D656" s="9"/>
      <c r="E656" s="14"/>
      <c r="F656" s="9">
        <v>17.591694518</v>
      </c>
      <c r="G656" s="9">
        <f>G36+G53+G89+G125+G153+G181+G209+G234+G274+G316+G326+G339+G348+G357+G366+G373+G380+G410+G420+G430+G437+G447+G469+G480+G491+G508+G516+G523+G533+G541+G548+G561+G564+G567+G570+G573+G583+G618+G621+G624+G655</f>
        <v>24392.95</v>
      </c>
      <c r="H656" s="9">
        <f>H36+H53+H89+H125+H153+H181+H209+H234+H274+H316+H326+H339+H348+H357+H366+H373+H380+H410+H420+H430+H437+H447+H469+H480+H491+H508+H516+H523+H533+H541+H548+H561+H564+H567+H570+H573+H583+H618+H621+H624+H655</f>
        <v>9015.81</v>
      </c>
      <c r="I656" s="9">
        <f>I36+I53+I89+I125+I153+I181+I209+I234+I274+I316+I326+I339+I348+I357+I366+I373+I380+I410+I420+I430+I437+I447+I469+I480+I491+I508+I516+I523+I533+I541+I548+I561+I564+I567+I570+I573+I583+I618+I621+I624+I655</f>
        <v>15618.99</v>
      </c>
      <c r="J656" s="9">
        <f>J36+J53+J89+J125+J153+J181+J209+J234+J274+J316+J326+J339+J348+J357+J366+J373+J380+J410+J420+J430+J437+J447+J469+J480+J491+J508+J516+J523+J533+J541+J548+J561+J564+J567+J570+J573+J583+J618+J621+J624+J655</f>
        <v>2326.139</v>
      </c>
      <c r="K656" s="9">
        <f>K36+K53+K89+K125+K153+K181+K209+K234+K274+K316+K326+K339+K348+K357+K366+K373+K380+K410+K420+K430+K437+K447+K469+K480+K491+K508+K516+K523+K533+K541+K548+K561+K564+K567+K570+K573+K583+K618+K621+K624+K655</f>
        <v>1657.623</v>
      </c>
      <c r="L656" s="9"/>
      <c r="M656" s="9"/>
      <c r="N656" s="19"/>
    </row>
  </sheetData>
  <mergeCells count="17">
    <mergeCell ref="A3:N3"/>
    <mergeCell ref="A4:A5"/>
    <mergeCell ref="A576:A578"/>
    <mergeCell ref="A586:A61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hyperlinks>
    <hyperlink ref="A3:N3" r:id="rId4" display="体积重量功耗信息"/>
  </hyperlinks>
  <pageMargins left="0.7" right="0.7" top="0.75" bottom="0.75" header="0.3" footer="0.3"/>
  <pageSetup paperSize="9" orientation="portrait" horizontalDpi="200" verticalDpi="3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体积重量功耗信息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xxxx</cp:lastModifiedBy>
  <dcterms:created xsi:type="dcterms:W3CDTF">2006-09-16T08:00:00Z</dcterms:created>
  <dcterms:modified xsi:type="dcterms:W3CDTF">2025-09-05T17:17:21Z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5A70BD417EBA4912BC37BA68B7C85111_43</vt:lpwstr>
  </property>
  <property fmtid="{D5CDD505-2E9C-101B-9397-08002B2CF9AE}" pid="3" name="KSOProductBuildVer">
    <vt:lpwstr>2052-12.1.21861.21861</vt:lpwstr>
  </property>
</Properties>
</file>