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 tabRatio="902" firstSheet="1"/>
  </bookViews>
  <sheets>
    <sheet name="01" sheetId="23" r:id="rId1"/>
    <sheet name="02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<sst xmlns="http://schemas.openxmlformats.org/spreadsheetml/2006/main" count="1122" uniqueCount="192">
  <si>
    <r>
      <rPr>
        <sz val="11"/>
        <color theme="1"/>
        <rFont val="微软雅黑"/>
        <charset val="134"/>
      </rPr>
      <t xml:space="preserve">各部件的规格参数详情见各部件sheet页
</t>
    </r>
    <r>
      <rPr>
        <b/>
        <sz val="11"/>
        <color theme="1"/>
        <rFont val="微软雅黑"/>
        <charset val="134"/>
      </rPr>
      <t>说明：</t>
    </r>
    <r>
      <rPr>
        <sz val="11"/>
        <color theme="1"/>
        <rFont val="微软雅黑"/>
        <charset val="134"/>
      </rPr>
      <t xml:space="preserve">
1、积液盘为可选
2、分布式CDU无水浸传感器;集中式CDU情况时，漏液检测绳与水浸传感器连接，再连接到环动主机。系统检测漏液，动环主机控制电动阀的开断。
3、</t>
    </r>
    <r>
      <rPr>
        <sz val="11"/>
        <color rgb="FFFF0000"/>
        <rFont val="微软雅黑"/>
        <charset val="134"/>
      </rPr>
      <t>此配置数量为最大配置数量，若实际功率超过机柜所能支持的最大功率，则需减少服务器的数量或者更改PDU方案（见PDU页签）</t>
    </r>
    <r>
      <rPr>
        <sz val="11"/>
        <color theme="1"/>
        <rFont val="微软雅黑"/>
        <charset val="134"/>
      </rPr>
      <t xml:space="preserve">
4、集中式CDU情况：监控模块的漏液检测绳与manifold自带的漏液检测绳互斥，二者选一。
5、冷却液用量需根据客户数据中心二次侧管路方案单独估算</t>
    </r>
    <r>
      <rPr>
        <sz val="11"/>
        <color rgb="FFFF0000"/>
        <rFont val="微软雅黑"/>
        <charset val="134"/>
      </rPr>
      <t xml:space="preserve">
6、对于带背门机柜情况，限制整柜风冷功耗在10KW以内
7、若服务器节点配置节点和机柜积液盘，则服务器数量需按实际可使用的U数来进行配置,积液盘占1U的空间</t>
    </r>
  </si>
  <si>
    <t>配置1--分布式CDU+42U机柜(不带背门）</t>
  </si>
  <si>
    <t>   机型
配置</t>
  </si>
  <si>
    <t>交换机</t>
  </si>
  <si>
    <t>服务器</t>
  </si>
  <si>
    <t>分布式CDU</t>
  </si>
  <si>
    <t>PDU</t>
  </si>
  <si>
    <t>Manifold</t>
  </si>
  <si>
    <t>机柜</t>
  </si>
  <si>
    <t>冷却液</t>
  </si>
  <si>
    <t>电源线</t>
  </si>
  <si>
    <t>监控模块（可选）</t>
  </si>
  <si>
    <t>机柜积液盘（可选）</t>
  </si>
  <si>
    <t>节点积液盘（可选）</t>
  </si>
  <si>
    <t>节点典配功率
(KW)</t>
  </si>
  <si>
    <t>典配整机满配
功率(kw)</t>
  </si>
  <si>
    <t>典配整机满配
启动功率(kw)</t>
  </si>
  <si>
    <t>备注</t>
  </si>
  <si>
    <t>S1000</t>
  </si>
  <si>
    <t>S2000（风冷）</t>
  </si>
  <si>
    <t>S3000</t>
  </si>
  <si>
    <t>S4000</t>
  </si>
  <si>
    <t>S5000</t>
  </si>
  <si>
    <t>S6000</t>
  </si>
  <si>
    <t>S7000</t>
  </si>
  <si>
    <t>S8000</t>
  </si>
  <si>
    <t>S9000</t>
  </si>
  <si>
    <t>S10000</t>
  </si>
  <si>
    <t>S20000</t>
  </si>
  <si>
    <t>动环主机</t>
  </si>
  <si>
    <t>温湿度传感器</t>
  </si>
  <si>
    <t>水浸传感器</t>
  </si>
  <si>
    <t>漏液检测绳</t>
  </si>
  <si>
    <t>配置1-1</t>
  </si>
  <si>
    <t>NA</t>
  </si>
  <si>
    <t>5204A000*1</t>
  </si>
  <si>
    <t>0242A004/0242A008*6 （满配时选择0242A004*6 ；配置节点数小于33台时推荐使用 242A008*6）</t>
  </si>
  <si>
    <t>5203A005*1</t>
  </si>
  <si>
    <t>2102A00C*1</t>
  </si>
  <si>
    <t>9002A00P/9002A00M</t>
  </si>
  <si>
    <t>0404A27M/0404A27L</t>
  </si>
  <si>
    <t>不涉及</t>
  </si>
  <si>
    <t>2121A06F</t>
  </si>
  <si>
    <t>2121A06G</t>
  </si>
  <si>
    <t>此配置数量为最大配置数量，功率限制在866w以内。
若功率超过此参数，可考虑其他PDU方案,请参考PDU规格页</t>
  </si>
  <si>
    <t>配置1-2</t>
  </si>
  <si>
    <t>此配置数量为最大配置数量，功率限制在866w以内。
若功率超过此参数，可考虑其他PPDU方案,请参考PDU规格页</t>
  </si>
  <si>
    <t>R47G5/G6满配时PDU选择0242A004*6 ；配置节点数小于33台时PDU推荐使用 242A008*6）</t>
  </si>
  <si>
    <t>配置1-3</t>
  </si>
  <si>
    <t>0242A004*6 / 242A008*6</t>
  </si>
  <si>
    <t>5203A004*1</t>
  </si>
  <si>
    <t>配置1-4</t>
  </si>
  <si>
    <t>NL</t>
  </si>
  <si>
    <t>配置1-5</t>
  </si>
  <si>
    <t>配置1-6</t>
  </si>
  <si>
    <t>配置1-7</t>
  </si>
  <si>
    <t>配置1-8</t>
  </si>
  <si>
    <t xml:space="preserve">0242A006*4 </t>
  </si>
  <si>
    <t>5203A003*1</t>
  </si>
  <si>
    <t>0404A27M/0404A27N</t>
  </si>
  <si>
    <t>水电不分离</t>
  </si>
  <si>
    <t xml:space="preserve"> 0242A007*6</t>
  </si>
  <si>
    <t>0404A27L/0404A27E</t>
  </si>
  <si>
    <t>水电分离</t>
  </si>
  <si>
    <t>配置1-9</t>
  </si>
  <si>
    <t>支持混配，占据空间不超34U</t>
  </si>
  <si>
    <t>0242A004*6</t>
  </si>
  <si>
    <t>/</t>
  </si>
  <si>
    <t>配置1-10</t>
  </si>
  <si>
    <t>0404A27M/0404A27N/0404A27L/0404A27E</t>
  </si>
  <si>
    <t>配置1-11</t>
  </si>
  <si>
    <t>配置1-12</t>
  </si>
  <si>
    <t>配置1-13</t>
  </si>
  <si>
    <t>配置2--集中式CDU+42U机柜(不带背门）</t>
  </si>
  <si>
    <t>集中式CDU</t>
  </si>
  <si>
    <t>冷却液
（单柜）</t>
  </si>
  <si>
    <t>配置2-1</t>
  </si>
  <si>
    <t>定制</t>
  </si>
  <si>
    <t>9801A56N</t>
  </si>
  <si>
    <t>9806A0QN</t>
  </si>
  <si>
    <t>9806A0PV/9806A0PY</t>
  </si>
  <si>
    <t>9804A0BQ</t>
  </si>
  <si>
    <t>配置2-2</t>
  </si>
  <si>
    <t>配置2-3</t>
  </si>
  <si>
    <t>配置2-4</t>
  </si>
  <si>
    <t>配置2-5</t>
  </si>
  <si>
    <t>配置2-6</t>
  </si>
  <si>
    <t>配置2-7</t>
  </si>
  <si>
    <t>配置2-8</t>
  </si>
  <si>
    <t>配置2-9</t>
  </si>
  <si>
    <t>配置2-10</t>
  </si>
  <si>
    <t>配置2-11</t>
  </si>
  <si>
    <t>配置2-12</t>
  </si>
  <si>
    <t>配置2-13</t>
  </si>
  <si>
    <t>支持混配，占据空间不超38U（1U之间混配时，最大36U)</t>
  </si>
  <si>
    <t>配置2-14</t>
  </si>
  <si>
    <t>配置2-15</t>
  </si>
  <si>
    <t>0242A007*6</t>
  </si>
  <si>
    <t>配置2-16</t>
  </si>
  <si>
    <t>配置2-17</t>
  </si>
  <si>
    <t>配置3--分布式CDU+42U机柜(带背门）</t>
  </si>
  <si>
    <t>配置3-1</t>
  </si>
  <si>
    <t>2102A00G</t>
  </si>
  <si>
    <t>R47G6满配时PDU选择0242A004*6 ；配置节点数小于33台时PDU推荐使用 242A008*6）</t>
  </si>
  <si>
    <t>配置3-2</t>
  </si>
  <si>
    <t>配置3-3</t>
  </si>
  <si>
    <t>配置3-4</t>
  </si>
  <si>
    <t>R4700 G6、R4900 G6 Ultra 、R4930LC G5 H3支持混配，占据空间不超34U</t>
  </si>
  <si>
    <t>配置4--47U机柜(不带背门）</t>
  </si>
  <si>
    <t>CDU</t>
  </si>
  <si>
    <t>0242A008*6</t>
  </si>
  <si>
    <t>2102A00H</t>
  </si>
  <si>
    <t>定制集中式CDU</t>
  </si>
  <si>
    <t>分布式CDU+42U（带背门）</t>
  </si>
  <si>
    <t>编码</t>
  </si>
  <si>
    <t>描述</t>
  </si>
  <si>
    <t>U数</t>
  </si>
  <si>
    <t>C13插孔数量
（单边）</t>
  </si>
  <si>
    <t>C19插孔数量
（单边）</t>
  </si>
  <si>
    <t>manifold口数量（单边）
UQD04</t>
  </si>
  <si>
    <t>出口</t>
  </si>
  <si>
    <t>典配节点功率</t>
  </si>
  <si>
    <t>典配整柜风冷功率</t>
  </si>
  <si>
    <t>满配情况下单节点
最大能支持的风冷功耗</t>
  </si>
  <si>
    <t>满配情况下单节点
最大能支持的液冷功耗</t>
  </si>
  <si>
    <t>满配情况下
最大能支持的节点功耗</t>
  </si>
  <si>
    <t>0235A4PE</t>
  </si>
  <si>
    <r>
      <rPr>
        <sz val="11"/>
        <color rgb="FF000000"/>
        <rFont val="Segoe UI"/>
        <charset val="134"/>
      </rPr>
      <t>H3C UniServer R4700 G5 SFF</t>
    </r>
    <r>
      <rPr>
        <sz val="11"/>
        <color rgb="FF000000"/>
        <rFont val="宋体"/>
        <charset val="134"/>
      </rPr>
      <t>液冷服务器</t>
    </r>
  </si>
  <si>
    <t>1U</t>
  </si>
  <si>
    <r>
      <rPr>
        <sz val="11"/>
        <color rgb="FF000000"/>
        <rFont val="Segoe UI"/>
        <charset val="134"/>
      </rPr>
      <t>UQD04</t>
    </r>
    <r>
      <rPr>
        <sz val="11"/>
        <color rgb="FF000000"/>
        <rFont val="宋体"/>
        <charset val="134"/>
      </rPr>
      <t>母头</t>
    </r>
  </si>
  <si>
    <t>0.96KW</t>
  </si>
  <si>
    <t>15.12kW</t>
  </si>
  <si>
    <t>0235A4PF</t>
  </si>
  <si>
    <r>
      <rPr>
        <sz val="11"/>
        <color rgb="FF000000"/>
        <rFont val="Segoe UI"/>
        <charset val="134"/>
      </rPr>
      <t>H3C UniServer R4700 G5 LFF</t>
    </r>
    <r>
      <rPr>
        <sz val="11"/>
        <color rgb="FF000000"/>
        <rFont val="宋体"/>
        <charset val="134"/>
      </rPr>
      <t>液冷服务器</t>
    </r>
  </si>
  <si>
    <t>UQD04母头</t>
  </si>
  <si>
    <t>0235A4PA</t>
  </si>
  <si>
    <r>
      <rPr>
        <sz val="11"/>
        <color rgb="FF000000"/>
        <rFont val="Segoe UI"/>
        <charset val="134"/>
      </rPr>
      <t>H3C UniServer R4700 G6 SFF</t>
    </r>
    <r>
      <rPr>
        <sz val="11"/>
        <color rgb="FF000000"/>
        <rFont val="宋体"/>
        <charset val="134"/>
      </rPr>
      <t>液冷服务器</t>
    </r>
  </si>
  <si>
    <t>1.3KW</t>
  </si>
  <si>
    <t>21.6kW</t>
  </si>
  <si>
    <t>0.25kw</t>
  </si>
  <si>
    <t>0.7kw</t>
  </si>
  <si>
    <t>0.95kw</t>
  </si>
  <si>
    <t>0235A4PD</t>
  </si>
  <si>
    <t>H3C UniServer R4700 G6 LFF液冷服务器</t>
  </si>
  <si>
    <t>0235A48C</t>
  </si>
  <si>
    <t>H3C UniServer R4900LC G5 LFF CTO服务器</t>
  </si>
  <si>
    <t>2U</t>
  </si>
  <si>
    <t>1.8KW</t>
  </si>
  <si>
    <t>25.2kW</t>
  </si>
  <si>
    <t>0235A48D</t>
  </si>
  <si>
    <t>H3C UniServer R4900LC G5 SFF CTO服务器</t>
  </si>
  <si>
    <t>0235A48A</t>
  </si>
  <si>
    <r>
      <rPr>
        <sz val="11"/>
        <color rgb="FF000000"/>
        <rFont val="Segoe UI"/>
        <charset val="134"/>
      </rPr>
      <t xml:space="preserve">H3C UniServer R4900 G6 Ultra LFF </t>
    </r>
    <r>
      <rPr>
        <sz val="11"/>
        <color rgb="FF000000"/>
        <rFont val="宋体"/>
        <charset val="134"/>
      </rPr>
      <t>液冷服务器</t>
    </r>
  </si>
  <si>
    <t>1.9KW</t>
  </si>
  <si>
    <t>24kW</t>
  </si>
  <si>
    <t>0.5kw</t>
  </si>
  <si>
    <t>0.9kw</t>
  </si>
  <si>
    <t>1.4kw</t>
  </si>
  <si>
    <t>0235A48B</t>
  </si>
  <si>
    <t>H3C UniServer R4900 G6 Ultra SFF 液冷服务器</t>
  </si>
  <si>
    <t>0235A4LH</t>
  </si>
  <si>
    <r>
      <rPr>
        <sz val="11"/>
        <color rgb="FF000000"/>
        <rFont val="Segoe UI"/>
        <charset val="134"/>
      </rPr>
      <t>H3C UniServer R4930LC G5 H3 SFF</t>
    </r>
    <r>
      <rPr>
        <sz val="11"/>
        <color rgb="FF000000"/>
        <rFont val="宋体"/>
        <charset val="134"/>
      </rPr>
      <t>机箱</t>
    </r>
  </si>
  <si>
    <t>1.5KW</t>
  </si>
  <si>
    <t>21kW</t>
  </si>
  <si>
    <t>0.44KW</t>
  </si>
  <si>
    <t>0.94kw</t>
  </si>
  <si>
    <t>0235A4LJ</t>
  </si>
  <si>
    <t>H3C UniServer R4930LC G5 H3 LFF机箱</t>
  </si>
  <si>
    <t>0235A4P6</t>
  </si>
  <si>
    <r>
      <rPr>
        <sz val="11"/>
        <color rgb="FF000000"/>
        <rFont val="Segoe UI"/>
        <charset val="134"/>
      </rPr>
      <t>H3C UniServer R4950 G6 SFF</t>
    </r>
    <r>
      <rPr>
        <sz val="11"/>
        <color rgb="FF000000"/>
        <rFont val="宋体"/>
        <charset val="134"/>
      </rPr>
      <t>液冷服务器</t>
    </r>
  </si>
  <si>
    <t>22kW</t>
  </si>
  <si>
    <t>0235A4P7</t>
  </si>
  <si>
    <t>H3C UniServer R4950 G6 LFF液冷服务器</t>
  </si>
  <si>
    <t>0235A56D</t>
  </si>
  <si>
    <r>
      <rPr>
        <sz val="11"/>
        <color rgb="FF000000"/>
        <rFont val="Segoe UI"/>
        <charset val="134"/>
      </rPr>
      <t>UNIS Server R4930 G7 SFF CTO</t>
    </r>
    <r>
      <rPr>
        <sz val="11"/>
        <color rgb="FF000000"/>
        <rFont val="宋体"/>
        <charset val="134"/>
      </rPr>
      <t>液冷服务器</t>
    </r>
  </si>
  <si>
    <t>2kw</t>
  </si>
  <si>
    <t>0235A56E</t>
  </si>
  <si>
    <t>UNIS Server R4930 G7 LFF CTO液冷服务器</t>
  </si>
  <si>
    <t>0235A4KU</t>
  </si>
  <si>
    <r>
      <rPr>
        <sz val="11"/>
        <color theme="2" tint="-0.899990844447157"/>
        <rFont val="Segoe UI"/>
        <charset val="134"/>
      </rPr>
      <t>H3C UniServer R5500LC G5 CTO</t>
    </r>
    <r>
      <rPr>
        <sz val="11"/>
        <color theme="2" tint="-0.899990844447157"/>
        <rFont val="宋体"/>
        <charset val="134"/>
      </rPr>
      <t>液冷服务器</t>
    </r>
    <r>
      <rPr>
        <sz val="11"/>
        <color theme="2" tint="-0.899990844447157"/>
        <rFont val="Segoe UI"/>
        <charset val="134"/>
      </rPr>
      <t>(Intel)</t>
    </r>
  </si>
  <si>
    <t>6U</t>
  </si>
  <si>
    <t>1/0</t>
  </si>
  <si>
    <t>6.3KW</t>
  </si>
  <si>
    <t>6.7kW</t>
  </si>
  <si>
    <t>0235A53Q</t>
  </si>
  <si>
    <r>
      <rPr>
        <sz val="11"/>
        <color rgb="FF000000"/>
        <rFont val="Segoe UI"/>
        <charset val="134"/>
      </rPr>
      <t>H3C UniServer R5500 G7 CTO</t>
    </r>
    <r>
      <rPr>
        <sz val="11"/>
        <color rgb="FF000000"/>
        <rFont val="宋体"/>
        <charset val="134"/>
      </rPr>
      <t>液冷服务器</t>
    </r>
    <r>
      <rPr>
        <sz val="11"/>
        <color rgb="FF000000"/>
        <rFont val="Segoe UI"/>
        <charset val="134"/>
      </rPr>
      <t>(Hygon)</t>
    </r>
  </si>
  <si>
    <t>8U</t>
  </si>
  <si>
    <t>8kw</t>
  </si>
  <si>
    <t>0235A4SQ</t>
  </si>
  <si>
    <t>H3C UniServer R5500 G6 CTO液冷服务器</t>
  </si>
  <si>
    <t>9.8kw</t>
  </si>
  <si>
    <t>10.5kw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</si>
</sst>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  <numFmt numFmtId="177" formatCode="0.00_ "/>
  </numFmts>
  <fonts count="38">
    <font>
      <sz val="11"/>
      <color theme="1"/>
      <name val="宋体"/>
      <charset val="134"/>
      <scheme val="minor"/>
    </font>
    <font>
      <sz val="11"/>
      <color theme="2" tint="-0.899990844447157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Segoe UI"/>
      <charset val="134"/>
    </font>
    <font>
      <sz val="10"/>
      <name val="微软雅黑"/>
      <charset val="134"/>
    </font>
    <font>
      <sz val="11"/>
      <color theme="2" tint="-0.899990844447157"/>
      <name val="Segoe UI"/>
      <charset val="134"/>
    </font>
    <font>
      <strike/>
      <sz val="11"/>
      <color theme="2" tint="-0.249977111117893"/>
      <name val="Segoe UI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2" tint="-0.899990844447157"/>
      <name val="微软雅黑"/>
      <charset val="134"/>
    </font>
    <font>
      <sz val="11"/>
      <color theme="2" tint="-0.249977111117893"/>
      <name val="微软雅黑"/>
      <charset val="134"/>
    </font>
    <font>
      <b/>
      <sz val="11"/>
      <color theme="2" tint="-0.899990844447157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theme="2" tint="-0.24997711111789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2" tint="-0.899990844447157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6" applyNumberFormat="0" applyAlignment="0" applyProtection="0">
      <alignment vertical="center"/>
    </xf>
    <xf numFmtId="0" fontId="24" fillId="14" borderId="17" applyNumberFormat="0" applyAlignment="0" applyProtection="0">
      <alignment vertical="center"/>
    </xf>
    <xf numFmtId="0" fontId="25" fillId="14" borderId="16" applyNumberFormat="0" applyAlignment="0" applyProtection="0">
      <alignment vertical="center"/>
    </xf>
    <xf numFmtId="0" fontId="26" fillId="15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0" borderId="0"/>
    <xf numFmtId="0" fontId="35" fillId="0" borderId="0">
      <alignment vertical="center"/>
    </xf>
  </cellStyleXfs>
  <cellXfs count="8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49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left" vertical="center"/>
    </xf>
    <xf numFmtId="0" fontId="12" fillId="6" borderId="8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3" fillId="7" borderId="7" xfId="0" applyFont="1" applyFill="1" applyBorder="1" applyAlignment="1">
      <alignment horizontal="left" vertical="center"/>
    </xf>
    <xf numFmtId="0" fontId="13" fillId="7" borderId="8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vertical="center" wrapText="1"/>
    </xf>
    <xf numFmtId="0" fontId="13" fillId="7" borderId="10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left" vertical="center"/>
    </xf>
    <xf numFmtId="0" fontId="14" fillId="2" borderId="1" xfId="0" applyFont="1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6" xfId="50"/>
    <cellStyle name="常规 2" xfId="51"/>
    <cellStyle name="常规 3" xfId="52"/>
    <cellStyle name="常规 4 2" xfId="53"/>
    <cellStyle name="常规 5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H64"/>
  <sheetViews>
    <sheetView tabSelected="1" zoomScale="85" zoomScaleNormal="85" workbookViewId="0">
      <pane xSplit="12" topLeftCell="M1" activePane="topRight" state="frozen"/>
      <selection/>
      <selection pane="topRight" activeCell="J22" sqref="J22"/>
    </sheetView>
  </sheetViews>
  <sheetFormatPr defaultColWidth="9.23076923076923" defaultRowHeight="16.8"/>
  <cols>
    <col min="1" max="1" width="9" style="28"/>
    <col min="2" max="2" width="17.1826923076923" style="28" customWidth="1"/>
    <col min="3" max="3" width="16.875" style="28" customWidth="1"/>
    <col min="4" max="4" width="15.3846153846154" style="28" customWidth="1"/>
    <col min="5" max="5" width="15.7211538461538" style="28" customWidth="1"/>
    <col min="6" max="6" width="11.6346153846154" style="28" customWidth="1"/>
    <col min="7" max="7" width="17.7211538461538" style="28" customWidth="1"/>
    <col min="8" max="8" width="15.6346153846154" style="28" customWidth="1"/>
    <col min="9" max="11" width="11.6346153846154" style="28" customWidth="1"/>
    <col min="12" max="12" width="12.3653846153846" style="28" customWidth="1"/>
    <col min="13" max="13" width="18.6346153846154" style="28" customWidth="1"/>
    <col min="14" max="14" width="27.3653846153846" style="28" customWidth="1"/>
    <col min="15" max="15" width="20.2692307692308" style="28" customWidth="1"/>
    <col min="16" max="16" width="15.7211538461538" style="29" customWidth="1"/>
    <col min="17" max="18" width="21.6346153846154" style="29" customWidth="1"/>
    <col min="19" max="20" width="17.6346153846154" style="29" customWidth="1"/>
    <col min="21" max="21" width="21.3653846153846" style="29" customWidth="1"/>
    <col min="22" max="22" width="14.0865384615385" style="29" customWidth="1"/>
    <col min="23" max="23" width="16.7211538461538" style="29" customWidth="1"/>
    <col min="24" max="24" width="17.6346153846154" style="29" customWidth="1"/>
    <col min="25" max="25" width="13.6346153846154" style="29" customWidth="1"/>
    <col min="26" max="26" width="16.2692307692308" style="29" customWidth="1"/>
    <col min="27" max="27" width="15.3653846153846" style="29" customWidth="1"/>
    <col min="28" max="28" width="57" style="28" customWidth="1"/>
    <col min="29" max="29" width="11.2692307692308" style="28" customWidth="1"/>
    <col min="30" max="32" width="9" style="28"/>
    <col min="33" max="16384" width="9.23076923076923" style="28"/>
  </cols>
  <sheetData>
    <row r="1" spans="1:28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57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</row>
    <row r="3" s="25" customFormat="1" ht="16.5" customHeight="1" outlineLevel="1" spans="1:57">
      <c r="A3" s="34" t="s">
        <v>2</v>
      </c>
      <c r="B3" s="35" t="s">
        <v>3</v>
      </c>
      <c r="C3" s="36"/>
      <c r="D3" s="35" t="s">
        <v>4</v>
      </c>
      <c r="E3" s="52"/>
      <c r="F3" s="52"/>
      <c r="G3" s="52"/>
      <c r="H3" s="52"/>
      <c r="I3" s="52"/>
      <c r="J3" s="52"/>
      <c r="K3" s="52"/>
      <c r="L3" s="52"/>
      <c r="M3" s="58" t="s">
        <v>5</v>
      </c>
      <c r="N3" s="58" t="s">
        <v>6</v>
      </c>
      <c r="O3" s="58" t="s">
        <v>7</v>
      </c>
      <c r="P3" s="58" t="s">
        <v>8</v>
      </c>
      <c r="Q3" s="58" t="s">
        <v>9</v>
      </c>
      <c r="R3" s="58" t="s">
        <v>10</v>
      </c>
      <c r="S3" s="67" t="s">
        <v>11</v>
      </c>
      <c r="T3" s="68"/>
      <c r="U3" s="68"/>
      <c r="V3" s="68"/>
      <c r="W3" s="76" t="s">
        <v>12</v>
      </c>
      <c r="X3" s="76" t="s">
        <v>13</v>
      </c>
      <c r="Y3" s="78" t="s">
        <v>14</v>
      </c>
      <c r="Z3" s="78" t="s">
        <v>15</v>
      </c>
      <c r="AA3" s="78" t="s">
        <v>16</v>
      </c>
      <c r="AB3" s="58" t="s">
        <v>17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="25" customFormat="1" ht="17.25" customHeight="1" outlineLevel="1" spans="1:57">
      <c r="A4" s="37"/>
      <c r="B4" s="38" t="s">
        <v>18</v>
      </c>
      <c r="C4" s="38" t="s">
        <v>19</v>
      </c>
      <c r="D4" s="38" t="s">
        <v>20</v>
      </c>
      <c r="E4" s="38" t="s">
        <v>21</v>
      </c>
      <c r="F4" s="38" t="s">
        <v>22</v>
      </c>
      <c r="G4" s="38" t="s">
        <v>23</v>
      </c>
      <c r="H4" s="38" t="s">
        <v>24</v>
      </c>
      <c r="I4" s="38" t="s">
        <v>25</v>
      </c>
      <c r="J4" s="38" t="s">
        <v>26</v>
      </c>
      <c r="K4" s="38" t="s">
        <v>27</v>
      </c>
      <c r="L4" s="38" t="s">
        <v>28</v>
      </c>
      <c r="M4" s="59"/>
      <c r="N4" s="59"/>
      <c r="O4" s="59"/>
      <c r="P4" s="59"/>
      <c r="Q4" s="59"/>
      <c r="R4" s="59"/>
      <c r="S4" s="69" t="s">
        <v>29</v>
      </c>
      <c r="T4" s="69" t="s">
        <v>30</v>
      </c>
      <c r="U4" s="69" t="s">
        <v>31</v>
      </c>
      <c r="V4" s="69" t="s">
        <v>32</v>
      </c>
      <c r="W4" s="69"/>
      <c r="X4" s="69"/>
      <c r="Y4" s="79"/>
      <c r="Z4" s="79"/>
      <c r="AA4" s="79"/>
      <c r="AB4" s="59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</row>
    <row r="5" ht="15.75" customHeight="1" outlineLevel="1" spans="1:28">
      <c r="A5" s="22" t="s">
        <v>33</v>
      </c>
      <c r="B5" s="39">
        <v>2</v>
      </c>
      <c r="C5" s="40" t="s">
        <v>34</v>
      </c>
      <c r="D5" s="41">
        <v>34</v>
      </c>
      <c r="E5" s="40" t="s">
        <v>34</v>
      </c>
      <c r="F5" s="40" t="s">
        <v>34</v>
      </c>
      <c r="G5" s="40" t="s">
        <v>34</v>
      </c>
      <c r="H5" s="40" t="s">
        <v>34</v>
      </c>
      <c r="I5" s="40" t="s">
        <v>34</v>
      </c>
      <c r="J5" s="40" t="s">
        <v>34</v>
      </c>
      <c r="K5" s="40" t="s">
        <v>34</v>
      </c>
      <c r="L5" s="40" t="s">
        <v>34</v>
      </c>
      <c r="M5" s="60" t="s">
        <v>35</v>
      </c>
      <c r="N5" s="61" t="s">
        <v>36</v>
      </c>
      <c r="O5" s="62" t="s">
        <v>37</v>
      </c>
      <c r="P5" s="63" t="s">
        <v>38</v>
      </c>
      <c r="Q5" s="64" t="s">
        <v>39</v>
      </c>
      <c r="R5" s="64" t="s">
        <v>40</v>
      </c>
      <c r="S5" s="64" t="s">
        <v>41</v>
      </c>
      <c r="T5" s="64" t="s">
        <v>41</v>
      </c>
      <c r="U5" s="64" t="s">
        <v>41</v>
      </c>
      <c r="V5" s="64" t="s">
        <v>41</v>
      </c>
      <c r="W5" s="64" t="s">
        <v>42</v>
      </c>
      <c r="X5" s="64" t="s">
        <v>43</v>
      </c>
      <c r="Y5" s="64">
        <v>0.96</v>
      </c>
      <c r="Z5" s="80">
        <f>D5*Y5+2</f>
        <v>34.64</v>
      </c>
      <c r="AA5" s="80">
        <f>(D5*Y5+2)*1.27</f>
        <v>43.9928</v>
      </c>
      <c r="AB5" s="81" t="s">
        <v>44</v>
      </c>
    </row>
    <row r="6" ht="15.75" customHeight="1" outlineLevel="1" spans="1:28">
      <c r="A6" s="22" t="s">
        <v>45</v>
      </c>
      <c r="B6" s="39">
        <v>2</v>
      </c>
      <c r="C6" s="40" t="s">
        <v>34</v>
      </c>
      <c r="D6" s="40" t="s">
        <v>34</v>
      </c>
      <c r="E6" s="41">
        <v>34</v>
      </c>
      <c r="F6" s="40" t="s">
        <v>34</v>
      </c>
      <c r="G6" s="40" t="s">
        <v>34</v>
      </c>
      <c r="H6" s="40" t="s">
        <v>34</v>
      </c>
      <c r="I6" s="40" t="s">
        <v>34</v>
      </c>
      <c r="J6" s="40" t="s">
        <v>34</v>
      </c>
      <c r="K6" s="40" t="s">
        <v>34</v>
      </c>
      <c r="L6" s="40" t="s">
        <v>34</v>
      </c>
      <c r="M6" s="60" t="s">
        <v>35</v>
      </c>
      <c r="N6" s="61" t="s">
        <v>36</v>
      </c>
      <c r="O6" s="62" t="s">
        <v>37</v>
      </c>
      <c r="P6" s="63" t="s">
        <v>38</v>
      </c>
      <c r="Q6" s="64" t="s">
        <v>39</v>
      </c>
      <c r="R6" s="64" t="s">
        <v>40</v>
      </c>
      <c r="S6" s="64" t="s">
        <v>41</v>
      </c>
      <c r="T6" s="64" t="s">
        <v>41</v>
      </c>
      <c r="U6" s="64" t="s">
        <v>41</v>
      </c>
      <c r="V6" s="64" t="s">
        <v>41</v>
      </c>
      <c r="W6" s="64" t="s">
        <v>42</v>
      </c>
      <c r="X6" s="64" t="s">
        <v>43</v>
      </c>
      <c r="Y6" s="64">
        <v>1.3</v>
      </c>
      <c r="Z6" s="80">
        <f>E6*Y6+2</f>
        <v>46.2</v>
      </c>
      <c r="AA6" s="80">
        <f>(E6*Y6+2)*1.27</f>
        <v>58.674</v>
      </c>
      <c r="AB6" s="81" t="s">
        <v>46</v>
      </c>
    </row>
    <row r="7" ht="15.75" customHeight="1" outlineLevel="1" spans="1:28">
      <c r="A7" s="42" t="s">
        <v>47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82"/>
    </row>
    <row r="8" s="26" customFormat="1" ht="34" outlineLevel="1" spans="1:42">
      <c r="A8" s="22" t="s">
        <v>48</v>
      </c>
      <c r="B8" s="41">
        <v>2</v>
      </c>
      <c r="C8" s="40" t="s">
        <v>34</v>
      </c>
      <c r="D8" s="40" t="s">
        <v>34</v>
      </c>
      <c r="E8" s="40" t="s">
        <v>34</v>
      </c>
      <c r="F8" s="41">
        <v>17</v>
      </c>
      <c r="G8" s="40" t="s">
        <v>34</v>
      </c>
      <c r="H8" s="40" t="s">
        <v>34</v>
      </c>
      <c r="I8" s="40" t="s">
        <v>34</v>
      </c>
      <c r="J8" s="40" t="s">
        <v>34</v>
      </c>
      <c r="K8" s="40" t="s">
        <v>34</v>
      </c>
      <c r="L8" s="40" t="s">
        <v>34</v>
      </c>
      <c r="M8" s="60" t="s">
        <v>35</v>
      </c>
      <c r="N8" s="61" t="s">
        <v>49</v>
      </c>
      <c r="O8" s="64" t="s">
        <v>50</v>
      </c>
      <c r="P8" s="63" t="s">
        <v>38</v>
      </c>
      <c r="Q8" s="64" t="s">
        <v>39</v>
      </c>
      <c r="R8" s="64" t="s">
        <v>40</v>
      </c>
      <c r="S8" s="64" t="s">
        <v>41</v>
      </c>
      <c r="T8" s="64" t="s">
        <v>41</v>
      </c>
      <c r="U8" s="64" t="s">
        <v>41</v>
      </c>
      <c r="V8" s="64" t="s">
        <v>41</v>
      </c>
      <c r="W8" s="64" t="s">
        <v>42</v>
      </c>
      <c r="X8" s="64" t="s">
        <v>43</v>
      </c>
      <c r="Y8" s="64">
        <v>1.8</v>
      </c>
      <c r="Z8" s="80">
        <f>F8*Y8+2</f>
        <v>32.6</v>
      </c>
      <c r="AA8" s="80">
        <f>1.27*Z8</f>
        <v>41.402</v>
      </c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</row>
    <row r="9" s="26" customFormat="1" ht="34" outlineLevel="1" spans="1:42">
      <c r="A9" s="22" t="s">
        <v>51</v>
      </c>
      <c r="B9" s="41">
        <v>2</v>
      </c>
      <c r="C9" s="40" t="s">
        <v>34</v>
      </c>
      <c r="D9" s="40" t="s">
        <v>34</v>
      </c>
      <c r="E9" s="40" t="s">
        <v>34</v>
      </c>
      <c r="F9" s="40" t="s">
        <v>52</v>
      </c>
      <c r="G9" s="41">
        <v>17</v>
      </c>
      <c r="H9" s="40" t="s">
        <v>34</v>
      </c>
      <c r="I9" s="40" t="s">
        <v>34</v>
      </c>
      <c r="J9" s="40" t="s">
        <v>34</v>
      </c>
      <c r="K9" s="40" t="s">
        <v>34</v>
      </c>
      <c r="L9" s="40" t="s">
        <v>34</v>
      </c>
      <c r="M9" s="60" t="s">
        <v>35</v>
      </c>
      <c r="N9" s="61" t="s">
        <v>49</v>
      </c>
      <c r="O9" s="64" t="s">
        <v>50</v>
      </c>
      <c r="P9" s="63" t="s">
        <v>38</v>
      </c>
      <c r="Q9" s="64" t="s">
        <v>39</v>
      </c>
      <c r="R9" s="64" t="s">
        <v>40</v>
      </c>
      <c r="S9" s="64" t="s">
        <v>41</v>
      </c>
      <c r="T9" s="64" t="s">
        <v>41</v>
      </c>
      <c r="U9" s="64" t="s">
        <v>41</v>
      </c>
      <c r="V9" s="64" t="s">
        <v>41</v>
      </c>
      <c r="W9" s="64" t="s">
        <v>42</v>
      </c>
      <c r="X9" s="64" t="s">
        <v>43</v>
      </c>
      <c r="Y9" s="64">
        <v>1.9</v>
      </c>
      <c r="Z9" s="80">
        <f>G9*Y9+2</f>
        <v>34.3</v>
      </c>
      <c r="AA9" s="80">
        <f t="shared" ref="AA9:AA15" si="0">1.27*Z9</f>
        <v>43.561</v>
      </c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</row>
    <row r="10" s="26" customFormat="1" ht="34" outlineLevel="1" spans="1:42">
      <c r="A10" s="22" t="s">
        <v>53</v>
      </c>
      <c r="B10" s="41">
        <v>2</v>
      </c>
      <c r="C10" s="40" t="s">
        <v>34</v>
      </c>
      <c r="D10" s="40" t="s">
        <v>34</v>
      </c>
      <c r="E10" s="40" t="s">
        <v>34</v>
      </c>
      <c r="F10" s="40" t="s">
        <v>52</v>
      </c>
      <c r="G10" s="40" t="s">
        <v>52</v>
      </c>
      <c r="H10" s="41">
        <v>17</v>
      </c>
      <c r="I10" s="40" t="s">
        <v>34</v>
      </c>
      <c r="J10" s="40" t="s">
        <v>34</v>
      </c>
      <c r="K10" s="40" t="s">
        <v>34</v>
      </c>
      <c r="L10" s="40" t="s">
        <v>34</v>
      </c>
      <c r="M10" s="60" t="s">
        <v>35</v>
      </c>
      <c r="N10" s="61" t="s">
        <v>49</v>
      </c>
      <c r="O10" s="64" t="s">
        <v>50</v>
      </c>
      <c r="P10" s="63" t="s">
        <v>38</v>
      </c>
      <c r="Q10" s="64" t="s">
        <v>39</v>
      </c>
      <c r="R10" s="64" t="s">
        <v>40</v>
      </c>
      <c r="S10" s="64" t="s">
        <v>41</v>
      </c>
      <c r="T10" s="64" t="s">
        <v>41</v>
      </c>
      <c r="U10" s="64" t="s">
        <v>41</v>
      </c>
      <c r="V10" s="64" t="s">
        <v>41</v>
      </c>
      <c r="W10" s="64" t="s">
        <v>42</v>
      </c>
      <c r="X10" s="64" t="s">
        <v>43</v>
      </c>
      <c r="Y10" s="64">
        <v>1.5</v>
      </c>
      <c r="Z10" s="80">
        <f>H10*Y10+2</f>
        <v>27.5</v>
      </c>
      <c r="AA10" s="80">
        <f t="shared" si="0"/>
        <v>34.925</v>
      </c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</row>
    <row r="11" s="26" customFormat="1" ht="34" outlineLevel="1" spans="1:42">
      <c r="A11" s="22" t="s">
        <v>54</v>
      </c>
      <c r="B11" s="41">
        <v>2</v>
      </c>
      <c r="C11" s="40" t="s">
        <v>34</v>
      </c>
      <c r="D11" s="40" t="s">
        <v>34</v>
      </c>
      <c r="E11" s="40" t="s">
        <v>34</v>
      </c>
      <c r="F11" s="40" t="s">
        <v>34</v>
      </c>
      <c r="G11" s="40" t="s">
        <v>34</v>
      </c>
      <c r="H11" s="40" t="s">
        <v>34</v>
      </c>
      <c r="I11" s="41">
        <v>17</v>
      </c>
      <c r="J11" s="40" t="s">
        <v>34</v>
      </c>
      <c r="K11" s="40" t="s">
        <v>34</v>
      </c>
      <c r="L11" s="40" t="s">
        <v>34</v>
      </c>
      <c r="M11" s="60" t="s">
        <v>35</v>
      </c>
      <c r="N11" s="61" t="s">
        <v>49</v>
      </c>
      <c r="O11" s="64" t="s">
        <v>50</v>
      </c>
      <c r="P11" s="63" t="s">
        <v>38</v>
      </c>
      <c r="Q11" s="64" t="s">
        <v>39</v>
      </c>
      <c r="R11" s="64" t="s">
        <v>40</v>
      </c>
      <c r="S11" s="64" t="s">
        <v>41</v>
      </c>
      <c r="T11" s="64" t="s">
        <v>41</v>
      </c>
      <c r="U11" s="64" t="s">
        <v>41</v>
      </c>
      <c r="V11" s="64" t="s">
        <v>41</v>
      </c>
      <c r="W11" s="64" t="s">
        <v>42</v>
      </c>
      <c r="X11" s="64" t="s">
        <v>43</v>
      </c>
      <c r="Y11" s="64">
        <v>1.9</v>
      </c>
      <c r="Z11" s="80">
        <f>I11*Y11+2</f>
        <v>34.3</v>
      </c>
      <c r="AA11" s="80">
        <f t="shared" si="0"/>
        <v>43.561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</row>
    <row r="12" s="27" customFormat="1" ht="34" outlineLevel="1" spans="1:42">
      <c r="A12" s="22" t="s">
        <v>55</v>
      </c>
      <c r="B12" s="41">
        <v>2</v>
      </c>
      <c r="C12" s="40" t="s">
        <v>34</v>
      </c>
      <c r="D12" s="40" t="s">
        <v>34</v>
      </c>
      <c r="E12" s="40" t="s">
        <v>34</v>
      </c>
      <c r="F12" s="40" t="s">
        <v>34</v>
      </c>
      <c r="G12" s="40" t="s">
        <v>34</v>
      </c>
      <c r="H12" s="40" t="s">
        <v>34</v>
      </c>
      <c r="I12" s="40" t="s">
        <v>34</v>
      </c>
      <c r="J12" s="41">
        <v>17</v>
      </c>
      <c r="K12" s="40" t="s">
        <v>34</v>
      </c>
      <c r="L12" s="40" t="s">
        <v>34</v>
      </c>
      <c r="M12" s="60" t="s">
        <v>35</v>
      </c>
      <c r="N12" s="61" t="s">
        <v>49</v>
      </c>
      <c r="O12" s="64" t="s">
        <v>50</v>
      </c>
      <c r="P12" s="63" t="s">
        <v>38</v>
      </c>
      <c r="Q12" s="64" t="s">
        <v>39</v>
      </c>
      <c r="R12" s="64" t="s">
        <v>40</v>
      </c>
      <c r="S12" s="64" t="s">
        <v>41</v>
      </c>
      <c r="T12" s="64" t="s">
        <v>41</v>
      </c>
      <c r="U12" s="64" t="s">
        <v>41</v>
      </c>
      <c r="V12" s="64" t="s">
        <v>41</v>
      </c>
      <c r="W12" s="64" t="s">
        <v>42</v>
      </c>
      <c r="X12" s="64" t="s">
        <v>43</v>
      </c>
      <c r="Y12" s="64">
        <v>2</v>
      </c>
      <c r="Z12" s="80">
        <f>J12*Y12+2</f>
        <v>36</v>
      </c>
      <c r="AA12" s="80">
        <f t="shared" si="0"/>
        <v>45.72</v>
      </c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</row>
    <row r="13" s="27" customFormat="1" ht="17" outlineLevel="1" spans="1:42">
      <c r="A13" s="22" t="s">
        <v>56</v>
      </c>
      <c r="B13" s="41">
        <v>2</v>
      </c>
      <c r="C13" s="40" t="s">
        <v>34</v>
      </c>
      <c r="D13" s="40" t="s">
        <v>34</v>
      </c>
      <c r="E13" s="40" t="s">
        <v>34</v>
      </c>
      <c r="F13" s="40" t="s">
        <v>34</v>
      </c>
      <c r="G13" s="40" t="s">
        <v>34</v>
      </c>
      <c r="H13" s="40" t="s">
        <v>34</v>
      </c>
      <c r="I13" s="40" t="s">
        <v>34</v>
      </c>
      <c r="J13" s="40" t="s">
        <v>34</v>
      </c>
      <c r="K13" s="50">
        <v>5</v>
      </c>
      <c r="L13" s="40" t="s">
        <v>34</v>
      </c>
      <c r="M13" s="60" t="s">
        <v>35</v>
      </c>
      <c r="N13" s="24" t="s">
        <v>57</v>
      </c>
      <c r="O13" s="24" t="s">
        <v>58</v>
      </c>
      <c r="P13" s="63" t="s">
        <v>38</v>
      </c>
      <c r="Q13" s="64" t="s">
        <v>39</v>
      </c>
      <c r="R13" s="64" t="s">
        <v>59</v>
      </c>
      <c r="S13" s="64" t="s">
        <v>41</v>
      </c>
      <c r="T13" s="64" t="s">
        <v>41</v>
      </c>
      <c r="U13" s="64" t="s">
        <v>41</v>
      </c>
      <c r="V13" s="64" t="s">
        <v>41</v>
      </c>
      <c r="W13" s="64" t="s">
        <v>42</v>
      </c>
      <c r="X13" s="64" t="s">
        <v>43</v>
      </c>
      <c r="Y13" s="64">
        <v>6.3</v>
      </c>
      <c r="Z13" s="80">
        <f>K13*Y13+2</f>
        <v>33.5</v>
      </c>
      <c r="AA13" s="80">
        <f t="shared" si="0"/>
        <v>42.545</v>
      </c>
      <c r="AB13" s="81" t="s">
        <v>60</v>
      </c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</row>
    <row r="14" s="27" customFormat="1" ht="17" outlineLevel="1" spans="1:42">
      <c r="A14" s="22" t="s">
        <v>56</v>
      </c>
      <c r="B14" s="41">
        <v>2</v>
      </c>
      <c r="C14" s="40" t="s">
        <v>34</v>
      </c>
      <c r="D14" s="40" t="s">
        <v>34</v>
      </c>
      <c r="E14" s="40" t="s">
        <v>34</v>
      </c>
      <c r="F14" s="40" t="s">
        <v>34</v>
      </c>
      <c r="G14" s="40" t="s">
        <v>34</v>
      </c>
      <c r="H14" s="40" t="s">
        <v>34</v>
      </c>
      <c r="I14" s="40" t="s">
        <v>34</v>
      </c>
      <c r="J14" s="40" t="s">
        <v>34</v>
      </c>
      <c r="K14" s="50">
        <v>5</v>
      </c>
      <c r="L14" s="40" t="s">
        <v>34</v>
      </c>
      <c r="M14" s="60" t="s">
        <v>35</v>
      </c>
      <c r="N14" s="61" t="s">
        <v>61</v>
      </c>
      <c r="O14" s="64" t="s">
        <v>50</v>
      </c>
      <c r="P14" s="63" t="s">
        <v>38</v>
      </c>
      <c r="Q14" s="64" t="s">
        <v>39</v>
      </c>
      <c r="R14" s="64" t="s">
        <v>62</v>
      </c>
      <c r="S14" s="64" t="s">
        <v>41</v>
      </c>
      <c r="T14" s="64" t="s">
        <v>41</v>
      </c>
      <c r="U14" s="64" t="s">
        <v>41</v>
      </c>
      <c r="V14" s="64" t="s">
        <v>41</v>
      </c>
      <c r="W14" s="64" t="s">
        <v>42</v>
      </c>
      <c r="X14" s="64" t="s">
        <v>43</v>
      </c>
      <c r="Y14" s="64">
        <v>6.3</v>
      </c>
      <c r="Z14" s="80">
        <f>K14*Y14+2</f>
        <v>33.5</v>
      </c>
      <c r="AA14" s="80">
        <f t="shared" si="0"/>
        <v>42.545</v>
      </c>
      <c r="AB14" s="81" t="s">
        <v>63</v>
      </c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</row>
    <row r="15" s="27" customFormat="1" ht="17" outlineLevel="1" spans="1:42">
      <c r="A15" s="22" t="s">
        <v>56</v>
      </c>
      <c r="B15" s="41">
        <v>2</v>
      </c>
      <c r="C15" s="40" t="s">
        <v>34</v>
      </c>
      <c r="D15" s="40" t="s">
        <v>34</v>
      </c>
      <c r="E15" s="40" t="s">
        <v>34</v>
      </c>
      <c r="F15" s="40" t="s">
        <v>34</v>
      </c>
      <c r="G15" s="40" t="s">
        <v>34</v>
      </c>
      <c r="H15" s="40" t="s">
        <v>34</v>
      </c>
      <c r="I15" s="40" t="s">
        <v>34</v>
      </c>
      <c r="J15" s="40" t="s">
        <v>34</v>
      </c>
      <c r="K15" s="40" t="s">
        <v>34</v>
      </c>
      <c r="L15" s="41">
        <v>4</v>
      </c>
      <c r="M15" s="60" t="s">
        <v>35</v>
      </c>
      <c r="N15" s="61" t="s">
        <v>61</v>
      </c>
      <c r="O15" s="64" t="s">
        <v>50</v>
      </c>
      <c r="P15" s="63" t="s">
        <v>38</v>
      </c>
      <c r="Q15" s="64" t="s">
        <v>39</v>
      </c>
      <c r="R15" s="64" t="s">
        <v>62</v>
      </c>
      <c r="S15" s="64" t="s">
        <v>41</v>
      </c>
      <c r="T15" s="64" t="s">
        <v>41</v>
      </c>
      <c r="U15" s="64" t="s">
        <v>41</v>
      </c>
      <c r="V15" s="64" t="s">
        <v>41</v>
      </c>
      <c r="W15" s="64" t="s">
        <v>42</v>
      </c>
      <c r="X15" s="64" t="s">
        <v>43</v>
      </c>
      <c r="Y15" s="64">
        <v>8</v>
      </c>
      <c r="Z15" s="80">
        <f>L15*Y15+2</f>
        <v>34</v>
      </c>
      <c r="AA15" s="80">
        <f t="shared" si="0"/>
        <v>43.18</v>
      </c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</row>
    <row r="16" s="26" customFormat="1" ht="17" outlineLevel="1" spans="1:42">
      <c r="A16" s="22" t="s">
        <v>64</v>
      </c>
      <c r="B16" s="44">
        <v>2</v>
      </c>
      <c r="C16" s="40" t="s">
        <v>34</v>
      </c>
      <c r="D16" s="45" t="s">
        <v>65</v>
      </c>
      <c r="E16" s="53"/>
      <c r="F16" s="53"/>
      <c r="G16" s="53"/>
      <c r="H16" s="53"/>
      <c r="I16" s="53"/>
      <c r="J16" s="55"/>
      <c r="K16" s="40" t="s">
        <v>34</v>
      </c>
      <c r="L16" s="40" t="s">
        <v>34</v>
      </c>
      <c r="M16" s="60" t="s">
        <v>35</v>
      </c>
      <c r="N16" s="61" t="s">
        <v>66</v>
      </c>
      <c r="O16" s="64" t="s">
        <v>50</v>
      </c>
      <c r="P16" s="63" t="s">
        <v>38</v>
      </c>
      <c r="Q16" s="64" t="s">
        <v>39</v>
      </c>
      <c r="R16" s="64" t="s">
        <v>40</v>
      </c>
      <c r="S16" s="64" t="s">
        <v>41</v>
      </c>
      <c r="T16" s="64" t="s">
        <v>41</v>
      </c>
      <c r="U16" s="64" t="s">
        <v>41</v>
      </c>
      <c r="V16" s="64" t="s">
        <v>41</v>
      </c>
      <c r="W16" s="64" t="s">
        <v>42</v>
      </c>
      <c r="X16" s="64" t="s">
        <v>43</v>
      </c>
      <c r="Y16" s="64" t="s">
        <v>67</v>
      </c>
      <c r="Z16" s="64" t="s">
        <v>67</v>
      </c>
      <c r="AA16" s="64" t="s">
        <v>67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</row>
    <row r="17" s="27" customFormat="1" ht="17" outlineLevel="1" spans="1:42">
      <c r="A17" s="22" t="s">
        <v>68</v>
      </c>
      <c r="B17" s="44">
        <v>2</v>
      </c>
      <c r="C17" s="40" t="s">
        <v>34</v>
      </c>
      <c r="D17" s="46">
        <v>2</v>
      </c>
      <c r="E17" s="54"/>
      <c r="F17" s="54"/>
      <c r="G17" s="54"/>
      <c r="H17" s="54"/>
      <c r="I17" s="54"/>
      <c r="J17" s="56"/>
      <c r="K17" s="41">
        <v>4</v>
      </c>
      <c r="L17" s="40" t="s">
        <v>34</v>
      </c>
      <c r="M17" s="60" t="s">
        <v>35</v>
      </c>
      <c r="N17" s="61" t="s">
        <v>61</v>
      </c>
      <c r="O17" s="64" t="s">
        <v>50</v>
      </c>
      <c r="P17" s="63" t="s">
        <v>38</v>
      </c>
      <c r="Q17" s="64" t="s">
        <v>39</v>
      </c>
      <c r="R17" s="64" t="s">
        <v>69</v>
      </c>
      <c r="S17" s="64" t="s">
        <v>41</v>
      </c>
      <c r="T17" s="64" t="s">
        <v>41</v>
      </c>
      <c r="U17" s="64" t="s">
        <v>41</v>
      </c>
      <c r="V17" s="64" t="s">
        <v>41</v>
      </c>
      <c r="W17" s="64" t="s">
        <v>42</v>
      </c>
      <c r="X17" s="64" t="s">
        <v>43</v>
      </c>
      <c r="Y17" s="64" t="s">
        <v>67</v>
      </c>
      <c r="Z17" s="64" t="s">
        <v>67</v>
      </c>
      <c r="AA17" s="64" t="s">
        <v>67</v>
      </c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</row>
    <row r="18" s="27" customFormat="1" ht="17" outlineLevel="1" spans="1:42">
      <c r="A18" s="22" t="s">
        <v>70</v>
      </c>
      <c r="B18" s="44">
        <v>2</v>
      </c>
      <c r="C18" s="40" t="s">
        <v>34</v>
      </c>
      <c r="D18" s="46">
        <v>4</v>
      </c>
      <c r="E18" s="54"/>
      <c r="F18" s="54"/>
      <c r="G18" s="54"/>
      <c r="H18" s="54"/>
      <c r="I18" s="54"/>
      <c r="J18" s="56"/>
      <c r="K18" s="41">
        <v>3</v>
      </c>
      <c r="L18" s="40" t="s">
        <v>34</v>
      </c>
      <c r="M18" s="60" t="s">
        <v>35</v>
      </c>
      <c r="N18" s="61" t="s">
        <v>61</v>
      </c>
      <c r="O18" s="64" t="s">
        <v>50</v>
      </c>
      <c r="P18" s="63" t="s">
        <v>38</v>
      </c>
      <c r="Q18" s="64" t="s">
        <v>39</v>
      </c>
      <c r="R18" s="64" t="s">
        <v>69</v>
      </c>
      <c r="S18" s="64" t="s">
        <v>41</v>
      </c>
      <c r="T18" s="64" t="s">
        <v>41</v>
      </c>
      <c r="U18" s="64" t="s">
        <v>41</v>
      </c>
      <c r="V18" s="64" t="s">
        <v>41</v>
      </c>
      <c r="W18" s="64" t="s">
        <v>42</v>
      </c>
      <c r="X18" s="64" t="s">
        <v>43</v>
      </c>
      <c r="Y18" s="64" t="s">
        <v>67</v>
      </c>
      <c r="Z18" s="64" t="s">
        <v>67</v>
      </c>
      <c r="AA18" s="64" t="s">
        <v>67</v>
      </c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</row>
    <row r="19" s="27" customFormat="1" ht="17" outlineLevel="1" spans="1:42">
      <c r="A19" s="22" t="s">
        <v>71</v>
      </c>
      <c r="B19" s="44">
        <v>2</v>
      </c>
      <c r="C19" s="40" t="s">
        <v>34</v>
      </c>
      <c r="D19" s="46">
        <v>6</v>
      </c>
      <c r="E19" s="54"/>
      <c r="F19" s="54"/>
      <c r="G19" s="54"/>
      <c r="H19" s="54"/>
      <c r="I19" s="54"/>
      <c r="J19" s="56"/>
      <c r="K19" s="41">
        <v>2</v>
      </c>
      <c r="L19" s="40" t="s">
        <v>34</v>
      </c>
      <c r="M19" s="60" t="s">
        <v>35</v>
      </c>
      <c r="N19" s="61" t="s">
        <v>61</v>
      </c>
      <c r="O19" s="64" t="s">
        <v>50</v>
      </c>
      <c r="P19" s="63" t="s">
        <v>38</v>
      </c>
      <c r="Q19" s="64" t="s">
        <v>39</v>
      </c>
      <c r="R19" s="64" t="s">
        <v>69</v>
      </c>
      <c r="S19" s="64" t="s">
        <v>41</v>
      </c>
      <c r="T19" s="64" t="s">
        <v>41</v>
      </c>
      <c r="U19" s="64" t="s">
        <v>41</v>
      </c>
      <c r="V19" s="64" t="s">
        <v>41</v>
      </c>
      <c r="W19" s="64" t="s">
        <v>42</v>
      </c>
      <c r="X19" s="64" t="s">
        <v>43</v>
      </c>
      <c r="Y19" s="64" t="s">
        <v>67</v>
      </c>
      <c r="Z19" s="64" t="s">
        <v>67</v>
      </c>
      <c r="AA19" s="64" t="s">
        <v>67</v>
      </c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</row>
    <row r="20" s="27" customFormat="1" ht="17" outlineLevel="1" spans="1:42">
      <c r="A20" s="22" t="s">
        <v>72</v>
      </c>
      <c r="B20" s="44">
        <v>2</v>
      </c>
      <c r="C20" s="40" t="s">
        <v>34</v>
      </c>
      <c r="D20" s="46">
        <v>8</v>
      </c>
      <c r="E20" s="54"/>
      <c r="F20" s="54"/>
      <c r="G20" s="54"/>
      <c r="H20" s="54"/>
      <c r="I20" s="54"/>
      <c r="J20" s="56"/>
      <c r="K20" s="41">
        <v>1</v>
      </c>
      <c r="L20" s="40" t="s">
        <v>34</v>
      </c>
      <c r="M20" s="60" t="s">
        <v>35</v>
      </c>
      <c r="N20" s="61" t="s">
        <v>61</v>
      </c>
      <c r="O20" s="64" t="s">
        <v>50</v>
      </c>
      <c r="P20" s="63" t="s">
        <v>38</v>
      </c>
      <c r="Q20" s="64" t="s">
        <v>39</v>
      </c>
      <c r="R20" s="64" t="s">
        <v>69</v>
      </c>
      <c r="S20" s="64" t="s">
        <v>41</v>
      </c>
      <c r="T20" s="64" t="s">
        <v>41</v>
      </c>
      <c r="U20" s="64" t="s">
        <v>41</v>
      </c>
      <c r="V20" s="64" t="s">
        <v>41</v>
      </c>
      <c r="W20" s="64" t="s">
        <v>42</v>
      </c>
      <c r="X20" s="64" t="s">
        <v>43</v>
      </c>
      <c r="Y20" s="64" t="s">
        <v>67</v>
      </c>
      <c r="Z20" s="64" t="s">
        <v>67</v>
      </c>
      <c r="AA20" s="64" t="s">
        <v>67</v>
      </c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</row>
    <row r="21" customFormat="1" spans="1:28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 customFormat="1" spans="1:28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 customFormat="1" spans="1:28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="26" customFormat="1" spans="1:42">
      <c r="A24" s="48" t="s">
        <v>73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</row>
    <row r="25" s="25" customFormat="1" ht="16.5" customHeight="1" outlineLevel="1" spans="1:58">
      <c r="A25" s="34" t="s">
        <v>2</v>
      </c>
      <c r="B25" s="35" t="s">
        <v>3</v>
      </c>
      <c r="C25" s="36"/>
      <c r="D25" s="35" t="s">
        <v>4</v>
      </c>
      <c r="E25" s="52"/>
      <c r="F25" s="52"/>
      <c r="G25" s="52"/>
      <c r="H25" s="52"/>
      <c r="I25" s="52"/>
      <c r="J25" s="52"/>
      <c r="K25" s="52"/>
      <c r="L25" s="52"/>
      <c r="M25" s="58" t="s">
        <v>74</v>
      </c>
      <c r="N25" s="58" t="s">
        <v>6</v>
      </c>
      <c r="O25" s="58" t="s">
        <v>7</v>
      </c>
      <c r="P25" s="58" t="s">
        <v>8</v>
      </c>
      <c r="Q25" s="70" t="s">
        <v>75</v>
      </c>
      <c r="R25" s="58" t="s">
        <v>10</v>
      </c>
      <c r="S25" s="71" t="s">
        <v>11</v>
      </c>
      <c r="T25" s="72"/>
      <c r="U25" s="72"/>
      <c r="V25" s="72"/>
      <c r="W25" s="76" t="s">
        <v>12</v>
      </c>
      <c r="X25" s="76" t="s">
        <v>13</v>
      </c>
      <c r="Y25" s="78" t="s">
        <v>14</v>
      </c>
      <c r="Z25" s="78" t="s">
        <v>15</v>
      </c>
      <c r="AA25" s="78" t="s">
        <v>16</v>
      </c>
      <c r="AB25" s="58" t="s">
        <v>17</v>
      </c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</row>
    <row r="26" s="25" customFormat="1" ht="21.75" customHeight="1" outlineLevel="1" spans="1:58">
      <c r="A26" s="37"/>
      <c r="B26" s="38" t="s">
        <v>18</v>
      </c>
      <c r="C26" s="38" t="s">
        <v>19</v>
      </c>
      <c r="D26" s="38" t="s">
        <v>20</v>
      </c>
      <c r="E26" s="38" t="s">
        <v>21</v>
      </c>
      <c r="F26" s="38" t="s">
        <v>22</v>
      </c>
      <c r="G26" s="38" t="s">
        <v>23</v>
      </c>
      <c r="H26" s="38" t="s">
        <v>24</v>
      </c>
      <c r="I26" s="38" t="s">
        <v>25</v>
      </c>
      <c r="J26" s="38" t="s">
        <v>26</v>
      </c>
      <c r="K26" s="38" t="s">
        <v>27</v>
      </c>
      <c r="L26" s="38" t="s">
        <v>28</v>
      </c>
      <c r="M26" s="59"/>
      <c r="N26" s="59"/>
      <c r="O26" s="59"/>
      <c r="P26" s="59"/>
      <c r="Q26" s="73"/>
      <c r="R26" s="59"/>
      <c r="S26" s="74" t="s">
        <v>29</v>
      </c>
      <c r="T26" s="74" t="s">
        <v>30</v>
      </c>
      <c r="U26" s="74" t="s">
        <v>31</v>
      </c>
      <c r="V26" s="69" t="s">
        <v>32</v>
      </c>
      <c r="W26" s="69"/>
      <c r="X26" s="69"/>
      <c r="Y26" s="79"/>
      <c r="Z26" s="79"/>
      <c r="AA26" s="79"/>
      <c r="AB26" s="59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</row>
    <row r="27" ht="15.75" customHeight="1" outlineLevel="1" spans="1:28">
      <c r="A27" s="22" t="s">
        <v>76</v>
      </c>
      <c r="B27" s="39">
        <v>2</v>
      </c>
      <c r="C27" s="40" t="s">
        <v>34</v>
      </c>
      <c r="D27" s="41">
        <v>36</v>
      </c>
      <c r="E27" s="40" t="s">
        <v>34</v>
      </c>
      <c r="F27" s="40" t="s">
        <v>34</v>
      </c>
      <c r="G27" s="40" t="s">
        <v>34</v>
      </c>
      <c r="H27" s="40" t="s">
        <v>34</v>
      </c>
      <c r="I27" s="40" t="s">
        <v>34</v>
      </c>
      <c r="J27" s="40" t="s">
        <v>34</v>
      </c>
      <c r="K27" s="40" t="s">
        <v>34</v>
      </c>
      <c r="L27" s="40" t="s">
        <v>34</v>
      </c>
      <c r="M27" s="65" t="s">
        <v>77</v>
      </c>
      <c r="N27" s="61" t="s">
        <v>36</v>
      </c>
      <c r="O27" s="62" t="s">
        <v>37</v>
      </c>
      <c r="P27" s="63" t="s">
        <v>38</v>
      </c>
      <c r="Q27" s="64" t="s">
        <v>39</v>
      </c>
      <c r="R27" s="64" t="s">
        <v>40</v>
      </c>
      <c r="S27" s="64" t="s">
        <v>78</v>
      </c>
      <c r="T27" s="64" t="s">
        <v>79</v>
      </c>
      <c r="U27" s="64" t="s">
        <v>80</v>
      </c>
      <c r="V27" s="64" t="s">
        <v>81</v>
      </c>
      <c r="W27" s="64" t="s">
        <v>42</v>
      </c>
      <c r="X27" s="64" t="s">
        <v>43</v>
      </c>
      <c r="Y27" s="64">
        <v>0.96</v>
      </c>
      <c r="Z27" s="80">
        <f>D27*Y27+2</f>
        <v>36.56</v>
      </c>
      <c r="AA27" s="80">
        <f>(D27*Y27+2)*1.27</f>
        <v>46.4312</v>
      </c>
      <c r="AB27" s="81" t="s">
        <v>46</v>
      </c>
    </row>
    <row r="28" ht="15.75" customHeight="1" outlineLevel="1" spans="1:28">
      <c r="A28" s="22" t="s">
        <v>82</v>
      </c>
      <c r="B28" s="39">
        <v>2</v>
      </c>
      <c r="C28" s="40" t="s">
        <v>34</v>
      </c>
      <c r="D28" s="40" t="s">
        <v>34</v>
      </c>
      <c r="E28" s="41">
        <v>36</v>
      </c>
      <c r="F28" s="40" t="s">
        <v>34</v>
      </c>
      <c r="G28" s="40" t="s">
        <v>34</v>
      </c>
      <c r="H28" s="40" t="s">
        <v>34</v>
      </c>
      <c r="I28" s="40" t="s">
        <v>34</v>
      </c>
      <c r="J28" s="40" t="s">
        <v>34</v>
      </c>
      <c r="K28" s="40" t="s">
        <v>34</v>
      </c>
      <c r="L28" s="40" t="s">
        <v>34</v>
      </c>
      <c r="M28" s="65" t="s">
        <v>77</v>
      </c>
      <c r="N28" s="61" t="s">
        <v>36</v>
      </c>
      <c r="O28" s="62" t="s">
        <v>37</v>
      </c>
      <c r="P28" s="63" t="s">
        <v>38</v>
      </c>
      <c r="Q28" s="64" t="s">
        <v>39</v>
      </c>
      <c r="R28" s="64" t="s">
        <v>40</v>
      </c>
      <c r="S28" s="64" t="s">
        <v>78</v>
      </c>
      <c r="T28" s="64" t="s">
        <v>79</v>
      </c>
      <c r="U28" s="64" t="s">
        <v>80</v>
      </c>
      <c r="V28" s="64" t="s">
        <v>81</v>
      </c>
      <c r="W28" s="64" t="s">
        <v>42</v>
      </c>
      <c r="X28" s="64" t="s">
        <v>43</v>
      </c>
      <c r="Y28" s="64">
        <v>1.3</v>
      </c>
      <c r="Z28" s="80">
        <f>E28*Y28+2</f>
        <v>48.8</v>
      </c>
      <c r="AA28" s="80">
        <f>(E28*Y28+2)*1.27</f>
        <v>61.976</v>
      </c>
      <c r="AB28" s="81" t="s">
        <v>46</v>
      </c>
    </row>
    <row r="29" ht="15.75" customHeight="1" outlineLevel="1" spans="1:28">
      <c r="A29" s="42" t="s">
        <v>47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82"/>
    </row>
    <row r="30" s="26" customFormat="1" ht="34" outlineLevel="1" spans="1:42">
      <c r="A30" s="22" t="s">
        <v>83</v>
      </c>
      <c r="B30" s="41">
        <v>2</v>
      </c>
      <c r="C30" s="40" t="s">
        <v>34</v>
      </c>
      <c r="D30" s="40" t="s">
        <v>34</v>
      </c>
      <c r="E30" s="40" t="s">
        <v>34</v>
      </c>
      <c r="F30" s="41">
        <v>19</v>
      </c>
      <c r="G30" s="40" t="s">
        <v>34</v>
      </c>
      <c r="H30" s="40" t="s">
        <v>34</v>
      </c>
      <c r="I30" s="40" t="s">
        <v>34</v>
      </c>
      <c r="J30" s="40" t="s">
        <v>34</v>
      </c>
      <c r="K30" s="40" t="s">
        <v>34</v>
      </c>
      <c r="L30" s="40" t="s">
        <v>34</v>
      </c>
      <c r="M30" s="65" t="s">
        <v>77</v>
      </c>
      <c r="N30" s="61" t="s">
        <v>49</v>
      </c>
      <c r="O30" s="64" t="s">
        <v>50</v>
      </c>
      <c r="P30" s="63" t="s">
        <v>38</v>
      </c>
      <c r="Q30" s="64" t="s">
        <v>39</v>
      </c>
      <c r="R30" s="64" t="s">
        <v>40</v>
      </c>
      <c r="S30" s="64" t="s">
        <v>78</v>
      </c>
      <c r="T30" s="64" t="s">
        <v>79</v>
      </c>
      <c r="U30" s="64" t="s">
        <v>80</v>
      </c>
      <c r="V30" s="64" t="s">
        <v>81</v>
      </c>
      <c r="W30" s="64" t="s">
        <v>42</v>
      </c>
      <c r="X30" s="64" t="s">
        <v>43</v>
      </c>
      <c r="Y30" s="64">
        <v>1.8</v>
      </c>
      <c r="Z30" s="80">
        <f>F30*Y30+2</f>
        <v>36.2</v>
      </c>
      <c r="AA30" s="80">
        <f>1.27*Z30</f>
        <v>45.974</v>
      </c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</row>
    <row r="31" s="26" customFormat="1" ht="34" outlineLevel="1" spans="1:42">
      <c r="A31" s="22" t="s">
        <v>84</v>
      </c>
      <c r="B31" s="50">
        <v>2</v>
      </c>
      <c r="C31" s="40" t="s">
        <v>34</v>
      </c>
      <c r="D31" s="40" t="s">
        <v>34</v>
      </c>
      <c r="E31" s="40" t="s">
        <v>34</v>
      </c>
      <c r="F31" s="40" t="s">
        <v>34</v>
      </c>
      <c r="G31" s="41">
        <v>19</v>
      </c>
      <c r="H31" s="40" t="s">
        <v>34</v>
      </c>
      <c r="I31" s="40" t="s">
        <v>34</v>
      </c>
      <c r="J31" s="40" t="s">
        <v>34</v>
      </c>
      <c r="K31" s="40" t="s">
        <v>34</v>
      </c>
      <c r="L31" s="40" t="s">
        <v>34</v>
      </c>
      <c r="M31" s="65" t="s">
        <v>77</v>
      </c>
      <c r="N31" s="61" t="s">
        <v>49</v>
      </c>
      <c r="O31" s="64" t="s">
        <v>50</v>
      </c>
      <c r="P31" s="63" t="s">
        <v>38</v>
      </c>
      <c r="Q31" s="64" t="s">
        <v>39</v>
      </c>
      <c r="R31" s="64" t="s">
        <v>40</v>
      </c>
      <c r="S31" s="64" t="s">
        <v>78</v>
      </c>
      <c r="T31" s="64" t="s">
        <v>79</v>
      </c>
      <c r="U31" s="64" t="s">
        <v>80</v>
      </c>
      <c r="V31" s="64" t="s">
        <v>81</v>
      </c>
      <c r="W31" s="64" t="s">
        <v>42</v>
      </c>
      <c r="X31" s="64" t="s">
        <v>43</v>
      </c>
      <c r="Y31" s="64">
        <v>1.9</v>
      </c>
      <c r="Z31" s="80">
        <f>G31*Y31+2</f>
        <v>38.1</v>
      </c>
      <c r="AA31" s="80">
        <f t="shared" ref="AA31:AA32" si="1">1.27*Z31</f>
        <v>48.387</v>
      </c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</row>
    <row r="32" s="26" customFormat="1" ht="34" outlineLevel="1" spans="1:42">
      <c r="A32" s="22" t="s">
        <v>85</v>
      </c>
      <c r="B32" s="41">
        <v>1</v>
      </c>
      <c r="C32" s="41">
        <v>1</v>
      </c>
      <c r="D32" s="40" t="s">
        <v>34</v>
      </c>
      <c r="E32" s="40" t="s">
        <v>34</v>
      </c>
      <c r="F32" s="40" t="s">
        <v>34</v>
      </c>
      <c r="G32" s="41">
        <v>16</v>
      </c>
      <c r="H32" s="40" t="s">
        <v>34</v>
      </c>
      <c r="I32" s="40" t="s">
        <v>34</v>
      </c>
      <c r="J32" s="40" t="s">
        <v>34</v>
      </c>
      <c r="K32" s="40" t="s">
        <v>34</v>
      </c>
      <c r="L32" s="40" t="s">
        <v>34</v>
      </c>
      <c r="M32" s="65" t="s">
        <v>77</v>
      </c>
      <c r="N32" s="61" t="s">
        <v>49</v>
      </c>
      <c r="O32" s="64" t="s">
        <v>50</v>
      </c>
      <c r="P32" s="63" t="s">
        <v>38</v>
      </c>
      <c r="Q32" s="64" t="s">
        <v>39</v>
      </c>
      <c r="R32" s="64" t="s">
        <v>40</v>
      </c>
      <c r="S32" s="64" t="s">
        <v>78</v>
      </c>
      <c r="T32" s="64" t="s">
        <v>79</v>
      </c>
      <c r="U32" s="64" t="s">
        <v>80</v>
      </c>
      <c r="V32" s="64" t="s">
        <v>81</v>
      </c>
      <c r="W32" s="64" t="s">
        <v>42</v>
      </c>
      <c r="X32" s="64" t="s">
        <v>43</v>
      </c>
      <c r="Y32" s="64">
        <v>1.9</v>
      </c>
      <c r="Z32" s="80">
        <f>G32*Y32+2</f>
        <v>32.4</v>
      </c>
      <c r="AA32" s="80">
        <f t="shared" si="1"/>
        <v>41.148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 s="26" customFormat="1" ht="34" outlineLevel="1" spans="1:42">
      <c r="A33" s="22" t="s">
        <v>86</v>
      </c>
      <c r="B33" s="50">
        <v>2</v>
      </c>
      <c r="C33" s="40" t="s">
        <v>34</v>
      </c>
      <c r="D33" s="40" t="s">
        <v>34</v>
      </c>
      <c r="E33" s="40" t="s">
        <v>34</v>
      </c>
      <c r="F33" s="40" t="s">
        <v>34</v>
      </c>
      <c r="G33" s="40" t="s">
        <v>34</v>
      </c>
      <c r="H33" s="41">
        <v>19</v>
      </c>
      <c r="I33" s="40" t="s">
        <v>34</v>
      </c>
      <c r="J33" s="40" t="s">
        <v>34</v>
      </c>
      <c r="K33" s="40" t="s">
        <v>34</v>
      </c>
      <c r="L33" s="40" t="s">
        <v>34</v>
      </c>
      <c r="M33" s="65" t="s">
        <v>77</v>
      </c>
      <c r="N33" s="61" t="s">
        <v>49</v>
      </c>
      <c r="O33" s="64" t="s">
        <v>50</v>
      </c>
      <c r="P33" s="63" t="s">
        <v>38</v>
      </c>
      <c r="Q33" s="64" t="s">
        <v>39</v>
      </c>
      <c r="R33" s="64" t="s">
        <v>40</v>
      </c>
      <c r="S33" s="64" t="s">
        <v>78</v>
      </c>
      <c r="T33" s="64" t="s">
        <v>79</v>
      </c>
      <c r="U33" s="64" t="s">
        <v>80</v>
      </c>
      <c r="V33" s="64" t="s">
        <v>81</v>
      </c>
      <c r="W33" s="64" t="s">
        <v>42</v>
      </c>
      <c r="X33" s="64" t="s">
        <v>43</v>
      </c>
      <c r="Y33" s="64">
        <v>1.5</v>
      </c>
      <c r="Z33" s="80">
        <f>H33*Y33+2</f>
        <v>30.5</v>
      </c>
      <c r="AA33" s="80">
        <f t="shared" ref="AA33:AA39" si="2">1.27*Z33</f>
        <v>38.735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 s="26" customFormat="1" ht="34" outlineLevel="1" spans="1:42">
      <c r="A34" s="22" t="s">
        <v>87</v>
      </c>
      <c r="B34" s="50">
        <v>2</v>
      </c>
      <c r="C34" s="40" t="s">
        <v>34</v>
      </c>
      <c r="D34" s="40" t="s">
        <v>34</v>
      </c>
      <c r="E34" s="40" t="s">
        <v>34</v>
      </c>
      <c r="F34" s="40" t="s">
        <v>34</v>
      </c>
      <c r="G34" s="40" t="s">
        <v>34</v>
      </c>
      <c r="H34" s="40" t="s">
        <v>34</v>
      </c>
      <c r="I34" s="41">
        <v>19</v>
      </c>
      <c r="J34" s="40" t="s">
        <v>34</v>
      </c>
      <c r="K34" s="40" t="s">
        <v>34</v>
      </c>
      <c r="L34" s="40" t="s">
        <v>34</v>
      </c>
      <c r="M34" s="65" t="s">
        <v>77</v>
      </c>
      <c r="N34" s="61" t="s">
        <v>49</v>
      </c>
      <c r="O34" s="64" t="s">
        <v>50</v>
      </c>
      <c r="P34" s="63" t="s">
        <v>38</v>
      </c>
      <c r="Q34" s="64" t="s">
        <v>39</v>
      </c>
      <c r="R34" s="64" t="s">
        <v>40</v>
      </c>
      <c r="S34" s="64" t="s">
        <v>78</v>
      </c>
      <c r="T34" s="64" t="s">
        <v>79</v>
      </c>
      <c r="U34" s="64" t="s">
        <v>80</v>
      </c>
      <c r="V34" s="64" t="s">
        <v>81</v>
      </c>
      <c r="W34" s="64" t="s">
        <v>42</v>
      </c>
      <c r="X34" s="64" t="s">
        <v>43</v>
      </c>
      <c r="Y34" s="64">
        <v>1.9</v>
      </c>
      <c r="Z34" s="80">
        <f>I34*Y34+2</f>
        <v>38.1</v>
      </c>
      <c r="AA34" s="80">
        <f t="shared" si="2"/>
        <v>48.387</v>
      </c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 s="27" customFormat="1" ht="34" outlineLevel="1" spans="1:42">
      <c r="A35" s="22" t="s">
        <v>88</v>
      </c>
      <c r="B35" s="50">
        <v>2</v>
      </c>
      <c r="C35" s="40" t="s">
        <v>34</v>
      </c>
      <c r="D35" s="40" t="s">
        <v>34</v>
      </c>
      <c r="E35" s="40" t="s">
        <v>34</v>
      </c>
      <c r="F35" s="40" t="s">
        <v>34</v>
      </c>
      <c r="G35" s="40" t="s">
        <v>34</v>
      </c>
      <c r="H35" s="40" t="s">
        <v>34</v>
      </c>
      <c r="I35" s="40" t="s">
        <v>34</v>
      </c>
      <c r="J35" s="41">
        <v>19</v>
      </c>
      <c r="K35" s="40" t="s">
        <v>34</v>
      </c>
      <c r="L35" s="40" t="s">
        <v>34</v>
      </c>
      <c r="M35" s="65" t="s">
        <v>77</v>
      </c>
      <c r="N35" s="61" t="s">
        <v>49</v>
      </c>
      <c r="O35" s="64" t="s">
        <v>50</v>
      </c>
      <c r="P35" s="63" t="s">
        <v>38</v>
      </c>
      <c r="Q35" s="64" t="s">
        <v>39</v>
      </c>
      <c r="R35" s="64" t="s">
        <v>40</v>
      </c>
      <c r="S35" s="64" t="s">
        <v>78</v>
      </c>
      <c r="T35" s="64" t="s">
        <v>79</v>
      </c>
      <c r="U35" s="64" t="s">
        <v>80</v>
      </c>
      <c r="V35" s="64" t="s">
        <v>81</v>
      </c>
      <c r="W35" s="64" t="s">
        <v>42</v>
      </c>
      <c r="X35" s="64" t="s">
        <v>43</v>
      </c>
      <c r="Y35" s="64">
        <v>2</v>
      </c>
      <c r="Z35" s="80">
        <f>J35*Y35+2</f>
        <v>40</v>
      </c>
      <c r="AA35" s="80">
        <f t="shared" si="2"/>
        <v>50.8</v>
      </c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</row>
    <row r="36" s="27" customFormat="1" ht="17" outlineLevel="1" spans="1:42">
      <c r="A36" s="22" t="s">
        <v>89</v>
      </c>
      <c r="B36" s="50">
        <v>2</v>
      </c>
      <c r="C36" s="40" t="s">
        <v>34</v>
      </c>
      <c r="D36" s="40" t="s">
        <v>34</v>
      </c>
      <c r="E36" s="40" t="s">
        <v>34</v>
      </c>
      <c r="F36" s="40" t="s">
        <v>34</v>
      </c>
      <c r="G36" s="40" t="s">
        <v>34</v>
      </c>
      <c r="H36" s="40" t="s">
        <v>34</v>
      </c>
      <c r="I36" s="40" t="s">
        <v>34</v>
      </c>
      <c r="J36" s="40" t="s">
        <v>34</v>
      </c>
      <c r="K36" s="50">
        <v>5</v>
      </c>
      <c r="L36" s="40" t="s">
        <v>34</v>
      </c>
      <c r="M36" s="65" t="s">
        <v>77</v>
      </c>
      <c r="N36" s="24" t="s">
        <v>57</v>
      </c>
      <c r="O36" s="24" t="s">
        <v>58</v>
      </c>
      <c r="P36" s="63" t="s">
        <v>38</v>
      </c>
      <c r="Q36" s="64" t="s">
        <v>39</v>
      </c>
      <c r="R36" s="64" t="s">
        <v>59</v>
      </c>
      <c r="S36" s="64" t="s">
        <v>78</v>
      </c>
      <c r="T36" s="64" t="s">
        <v>79</v>
      </c>
      <c r="U36" s="64" t="s">
        <v>80</v>
      </c>
      <c r="V36" s="64" t="s">
        <v>81</v>
      </c>
      <c r="W36" s="64" t="s">
        <v>42</v>
      </c>
      <c r="X36" s="64" t="s">
        <v>43</v>
      </c>
      <c r="Y36" s="64">
        <v>6.3</v>
      </c>
      <c r="Z36" s="80">
        <f>K36*Y36+2</f>
        <v>33.5</v>
      </c>
      <c r="AA36" s="80">
        <f t="shared" si="2"/>
        <v>42.545</v>
      </c>
      <c r="AB36" s="81" t="s">
        <v>60</v>
      </c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</row>
    <row r="37" s="27" customFormat="1" ht="17" outlineLevel="1" spans="1:42">
      <c r="A37" s="22" t="s">
        <v>90</v>
      </c>
      <c r="B37" s="50">
        <v>2</v>
      </c>
      <c r="C37" s="40" t="s">
        <v>34</v>
      </c>
      <c r="D37" s="40" t="s">
        <v>34</v>
      </c>
      <c r="E37" s="40" t="s">
        <v>34</v>
      </c>
      <c r="F37" s="40" t="s">
        <v>34</v>
      </c>
      <c r="G37" s="40" t="s">
        <v>34</v>
      </c>
      <c r="H37" s="40" t="s">
        <v>34</v>
      </c>
      <c r="I37" s="40" t="s">
        <v>34</v>
      </c>
      <c r="J37" s="40" t="s">
        <v>34</v>
      </c>
      <c r="K37" s="50">
        <v>5</v>
      </c>
      <c r="L37" s="40" t="s">
        <v>34</v>
      </c>
      <c r="M37" s="65" t="s">
        <v>77</v>
      </c>
      <c r="N37" s="61" t="s">
        <v>61</v>
      </c>
      <c r="O37" s="64" t="s">
        <v>50</v>
      </c>
      <c r="P37" s="63" t="s">
        <v>38</v>
      </c>
      <c r="Q37" s="64" t="s">
        <v>39</v>
      </c>
      <c r="R37" s="64" t="s">
        <v>62</v>
      </c>
      <c r="S37" s="64" t="s">
        <v>78</v>
      </c>
      <c r="T37" s="64" t="s">
        <v>79</v>
      </c>
      <c r="U37" s="64" t="s">
        <v>80</v>
      </c>
      <c r="V37" s="64" t="s">
        <v>81</v>
      </c>
      <c r="W37" s="64" t="s">
        <v>42</v>
      </c>
      <c r="X37" s="64" t="s">
        <v>43</v>
      </c>
      <c r="Y37" s="64">
        <v>6.3</v>
      </c>
      <c r="Z37" s="80">
        <f>K37*Y37+2</f>
        <v>33.5</v>
      </c>
      <c r="AA37" s="80">
        <f t="shared" si="2"/>
        <v>42.545</v>
      </c>
      <c r="AB37" s="81" t="s">
        <v>63</v>
      </c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</row>
    <row r="38" s="27" customFormat="1" ht="17" outlineLevel="1" spans="1:42">
      <c r="A38" s="22" t="s">
        <v>91</v>
      </c>
      <c r="B38" s="50">
        <v>2</v>
      </c>
      <c r="C38" s="40" t="s">
        <v>34</v>
      </c>
      <c r="D38" s="40" t="s">
        <v>34</v>
      </c>
      <c r="E38" s="40" t="s">
        <v>34</v>
      </c>
      <c r="F38" s="40" t="s">
        <v>34</v>
      </c>
      <c r="G38" s="40" t="s">
        <v>34</v>
      </c>
      <c r="H38" s="40" t="s">
        <v>34</v>
      </c>
      <c r="I38" s="40" t="s">
        <v>34</v>
      </c>
      <c r="J38" s="40" t="s">
        <v>34</v>
      </c>
      <c r="K38" s="40" t="s">
        <v>34</v>
      </c>
      <c r="L38" s="50">
        <v>4</v>
      </c>
      <c r="M38" s="65" t="s">
        <v>77</v>
      </c>
      <c r="N38" s="61" t="s">
        <v>61</v>
      </c>
      <c r="O38" s="64" t="s">
        <v>50</v>
      </c>
      <c r="P38" s="63" t="s">
        <v>38</v>
      </c>
      <c r="Q38" s="64" t="s">
        <v>39</v>
      </c>
      <c r="R38" s="64" t="s">
        <v>62</v>
      </c>
      <c r="S38" s="64" t="s">
        <v>78</v>
      </c>
      <c r="T38" s="64" t="s">
        <v>79</v>
      </c>
      <c r="U38" s="64" t="s">
        <v>80</v>
      </c>
      <c r="V38" s="64" t="s">
        <v>81</v>
      </c>
      <c r="W38" s="64" t="s">
        <v>42</v>
      </c>
      <c r="X38" s="64" t="s">
        <v>43</v>
      </c>
      <c r="Y38" s="64">
        <v>8</v>
      </c>
      <c r="Z38" s="80">
        <f>L38*Y38+2</f>
        <v>34</v>
      </c>
      <c r="AA38" s="80">
        <f t="shared" si="2"/>
        <v>43.18</v>
      </c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</row>
    <row r="39" s="27" customFormat="1" ht="17" outlineLevel="1" spans="1:42">
      <c r="A39" s="22" t="s">
        <v>92</v>
      </c>
      <c r="B39" s="41">
        <v>1</v>
      </c>
      <c r="C39" s="41">
        <v>1</v>
      </c>
      <c r="D39" s="40" t="s">
        <v>34</v>
      </c>
      <c r="E39" s="40" t="s">
        <v>34</v>
      </c>
      <c r="F39" s="40" t="s">
        <v>34</v>
      </c>
      <c r="G39" s="40" t="s">
        <v>34</v>
      </c>
      <c r="H39" s="40" t="s">
        <v>34</v>
      </c>
      <c r="I39" s="40" t="s">
        <v>34</v>
      </c>
      <c r="J39" s="40" t="s">
        <v>34</v>
      </c>
      <c r="K39" s="40" t="s">
        <v>34</v>
      </c>
      <c r="L39" s="50">
        <v>4</v>
      </c>
      <c r="M39" s="65" t="s">
        <v>77</v>
      </c>
      <c r="N39" s="61" t="s">
        <v>61</v>
      </c>
      <c r="O39" s="64" t="s">
        <v>50</v>
      </c>
      <c r="P39" s="63" t="s">
        <v>38</v>
      </c>
      <c r="Q39" s="64" t="s">
        <v>39</v>
      </c>
      <c r="R39" s="64" t="s">
        <v>62</v>
      </c>
      <c r="S39" s="64" t="s">
        <v>78</v>
      </c>
      <c r="T39" s="64" t="s">
        <v>79</v>
      </c>
      <c r="U39" s="64" t="s">
        <v>80</v>
      </c>
      <c r="V39" s="64" t="s">
        <v>81</v>
      </c>
      <c r="W39" s="64" t="s">
        <v>42</v>
      </c>
      <c r="X39" s="64" t="s">
        <v>43</v>
      </c>
      <c r="Y39" s="64">
        <v>8</v>
      </c>
      <c r="Z39" s="80">
        <f>L39*Y39+2</f>
        <v>34</v>
      </c>
      <c r="AA39" s="80">
        <f t="shared" si="2"/>
        <v>43.18</v>
      </c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</row>
    <row r="40" s="26" customFormat="1" ht="34" outlineLevel="1" spans="1:42">
      <c r="A40" s="22" t="s">
        <v>93</v>
      </c>
      <c r="B40" s="50">
        <v>2</v>
      </c>
      <c r="C40" s="40" t="s">
        <v>34</v>
      </c>
      <c r="D40" s="51" t="s">
        <v>94</v>
      </c>
      <c r="E40" s="39"/>
      <c r="F40" s="39"/>
      <c r="G40" s="39"/>
      <c r="H40" s="39"/>
      <c r="I40" s="39"/>
      <c r="J40" s="57"/>
      <c r="K40" s="40" t="s">
        <v>34</v>
      </c>
      <c r="L40" s="40" t="s">
        <v>34</v>
      </c>
      <c r="M40" s="65" t="s">
        <v>77</v>
      </c>
      <c r="N40" s="61" t="s">
        <v>49</v>
      </c>
      <c r="O40" s="62" t="s">
        <v>37</v>
      </c>
      <c r="P40" s="63" t="s">
        <v>38</v>
      </c>
      <c r="Q40" s="64" t="s">
        <v>39</v>
      </c>
      <c r="R40" s="64" t="s">
        <v>40</v>
      </c>
      <c r="S40" s="64" t="s">
        <v>78</v>
      </c>
      <c r="T40" s="64" t="s">
        <v>79</v>
      </c>
      <c r="U40" s="64" t="s">
        <v>80</v>
      </c>
      <c r="V40" s="64" t="s">
        <v>81</v>
      </c>
      <c r="W40" s="64" t="s">
        <v>42</v>
      </c>
      <c r="X40" s="64" t="s">
        <v>43</v>
      </c>
      <c r="Y40" s="64" t="s">
        <v>67</v>
      </c>
      <c r="Z40" s="64" t="s">
        <v>67</v>
      </c>
      <c r="AA40" s="64" t="s">
        <v>67</v>
      </c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 s="27" customFormat="1" ht="18" customHeight="1" outlineLevel="1" spans="1:42">
      <c r="A41" s="22" t="s">
        <v>95</v>
      </c>
      <c r="B41" s="50">
        <v>2</v>
      </c>
      <c r="C41" s="40" t="s">
        <v>34</v>
      </c>
      <c r="D41" s="46">
        <v>2</v>
      </c>
      <c r="E41" s="54"/>
      <c r="F41" s="54"/>
      <c r="G41" s="54"/>
      <c r="H41" s="54"/>
      <c r="I41" s="54"/>
      <c r="J41" s="56"/>
      <c r="K41" s="41">
        <v>4</v>
      </c>
      <c r="L41" s="40" t="s">
        <v>34</v>
      </c>
      <c r="M41" s="66" t="s">
        <v>77</v>
      </c>
      <c r="N41" s="61" t="s">
        <v>61</v>
      </c>
      <c r="O41" s="64" t="s">
        <v>50</v>
      </c>
      <c r="P41" s="63" t="s">
        <v>38</v>
      </c>
      <c r="Q41" s="64" t="s">
        <v>39</v>
      </c>
      <c r="R41" s="64" t="s">
        <v>69</v>
      </c>
      <c r="S41" s="64" t="s">
        <v>78</v>
      </c>
      <c r="T41" s="64" t="s">
        <v>79</v>
      </c>
      <c r="U41" s="64" t="s">
        <v>80</v>
      </c>
      <c r="V41" s="64" t="s">
        <v>81</v>
      </c>
      <c r="W41" s="64" t="s">
        <v>42</v>
      </c>
      <c r="X41" s="64" t="s">
        <v>43</v>
      </c>
      <c r="Y41" s="64" t="s">
        <v>67</v>
      </c>
      <c r="Z41" s="64" t="s">
        <v>67</v>
      </c>
      <c r="AA41" s="64" t="s">
        <v>67</v>
      </c>
      <c r="AG41" s="83"/>
      <c r="AH41" s="83"/>
      <c r="AI41" s="83"/>
      <c r="AJ41" s="83"/>
      <c r="AK41" s="83"/>
      <c r="AL41" s="83"/>
      <c r="AM41" s="83"/>
      <c r="AN41" s="83"/>
      <c r="AO41" s="83"/>
      <c r="AP41" s="83"/>
    </row>
    <row r="42" s="27" customFormat="1" ht="18" customHeight="1" outlineLevel="1" spans="1:42">
      <c r="A42" s="22" t="s">
        <v>96</v>
      </c>
      <c r="B42" s="50">
        <v>2</v>
      </c>
      <c r="C42" s="40" t="s">
        <v>34</v>
      </c>
      <c r="D42" s="46">
        <v>4</v>
      </c>
      <c r="E42" s="54"/>
      <c r="F42" s="54"/>
      <c r="G42" s="54"/>
      <c r="H42" s="54"/>
      <c r="I42" s="54"/>
      <c r="J42" s="56"/>
      <c r="K42" s="41">
        <v>3</v>
      </c>
      <c r="L42" s="40" t="s">
        <v>34</v>
      </c>
      <c r="M42" s="66" t="s">
        <v>77</v>
      </c>
      <c r="N42" s="61" t="s">
        <v>97</v>
      </c>
      <c r="O42" s="64" t="s">
        <v>50</v>
      </c>
      <c r="P42" s="63" t="s">
        <v>38</v>
      </c>
      <c r="Q42" s="64" t="s">
        <v>39</v>
      </c>
      <c r="R42" s="64" t="s">
        <v>69</v>
      </c>
      <c r="S42" s="64" t="s">
        <v>78</v>
      </c>
      <c r="T42" s="64" t="s">
        <v>79</v>
      </c>
      <c r="U42" s="64" t="s">
        <v>80</v>
      </c>
      <c r="V42" s="64" t="s">
        <v>81</v>
      </c>
      <c r="W42" s="64" t="s">
        <v>42</v>
      </c>
      <c r="X42" s="64" t="s">
        <v>43</v>
      </c>
      <c r="Y42" s="64" t="s">
        <v>67</v>
      </c>
      <c r="Z42" s="64" t="s">
        <v>67</v>
      </c>
      <c r="AA42" s="64" t="s">
        <v>67</v>
      </c>
      <c r="AG42" s="83"/>
      <c r="AH42" s="83"/>
      <c r="AI42" s="83"/>
      <c r="AJ42" s="83"/>
      <c r="AK42" s="83"/>
      <c r="AL42" s="83"/>
      <c r="AM42" s="83"/>
      <c r="AN42" s="83"/>
      <c r="AO42" s="83"/>
      <c r="AP42" s="83"/>
    </row>
    <row r="43" s="27" customFormat="1" ht="17" outlineLevel="1" spans="1:42">
      <c r="A43" s="22" t="s">
        <v>98</v>
      </c>
      <c r="B43" s="50">
        <v>2</v>
      </c>
      <c r="C43" s="40" t="s">
        <v>34</v>
      </c>
      <c r="D43" s="46">
        <v>6</v>
      </c>
      <c r="E43" s="54"/>
      <c r="F43" s="54"/>
      <c r="G43" s="54"/>
      <c r="H43" s="54"/>
      <c r="I43" s="54"/>
      <c r="J43" s="56"/>
      <c r="K43" s="41">
        <v>2</v>
      </c>
      <c r="L43" s="40" t="s">
        <v>34</v>
      </c>
      <c r="M43" s="66" t="s">
        <v>77</v>
      </c>
      <c r="N43" s="61" t="s">
        <v>61</v>
      </c>
      <c r="O43" s="64" t="s">
        <v>50</v>
      </c>
      <c r="P43" s="63" t="s">
        <v>38</v>
      </c>
      <c r="Q43" s="64" t="s">
        <v>39</v>
      </c>
      <c r="R43" s="64" t="s">
        <v>69</v>
      </c>
      <c r="S43" s="64" t="s">
        <v>78</v>
      </c>
      <c r="T43" s="64" t="s">
        <v>79</v>
      </c>
      <c r="U43" s="64" t="s">
        <v>80</v>
      </c>
      <c r="V43" s="64" t="s">
        <v>81</v>
      </c>
      <c r="W43" s="64" t="s">
        <v>42</v>
      </c>
      <c r="X43" s="64" t="s">
        <v>43</v>
      </c>
      <c r="Y43" s="64" t="s">
        <v>67</v>
      </c>
      <c r="Z43" s="64" t="s">
        <v>67</v>
      </c>
      <c r="AA43" s="64" t="s">
        <v>67</v>
      </c>
      <c r="AG43" s="83"/>
      <c r="AH43" s="83"/>
      <c r="AI43" s="83"/>
      <c r="AJ43" s="83"/>
      <c r="AK43" s="83"/>
      <c r="AL43" s="83"/>
      <c r="AM43" s="83"/>
      <c r="AN43" s="83"/>
      <c r="AO43" s="83"/>
      <c r="AP43" s="83"/>
    </row>
    <row r="44" s="27" customFormat="1" ht="17" outlineLevel="1" spans="1:27">
      <c r="A44" s="22" t="s">
        <v>99</v>
      </c>
      <c r="B44" s="50">
        <v>2</v>
      </c>
      <c r="C44" s="40" t="s">
        <v>34</v>
      </c>
      <c r="D44" s="46">
        <v>8</v>
      </c>
      <c r="E44" s="54"/>
      <c r="F44" s="54"/>
      <c r="G44" s="54"/>
      <c r="H44" s="54"/>
      <c r="I44" s="54"/>
      <c r="J44" s="56"/>
      <c r="K44" s="41">
        <v>1</v>
      </c>
      <c r="L44" s="40" t="s">
        <v>34</v>
      </c>
      <c r="M44" s="66" t="s">
        <v>77</v>
      </c>
      <c r="N44" s="61" t="s">
        <v>97</v>
      </c>
      <c r="O44" s="64" t="s">
        <v>50</v>
      </c>
      <c r="P44" s="63" t="s">
        <v>38</v>
      </c>
      <c r="Q44" s="64" t="s">
        <v>39</v>
      </c>
      <c r="R44" s="64" t="s">
        <v>69</v>
      </c>
      <c r="S44" s="64" t="s">
        <v>78</v>
      </c>
      <c r="T44" s="64" t="s">
        <v>79</v>
      </c>
      <c r="U44" s="64" t="s">
        <v>80</v>
      </c>
      <c r="V44" s="64" t="s">
        <v>81</v>
      </c>
      <c r="W44" s="64" t="s">
        <v>42</v>
      </c>
      <c r="X44" s="64" t="s">
        <v>43</v>
      </c>
      <c r="Y44" s="64" t="s">
        <v>67</v>
      </c>
      <c r="Z44" s="64" t="s">
        <v>67</v>
      </c>
      <c r="AA44" s="64" t="s">
        <v>67</v>
      </c>
    </row>
    <row r="45" customFormat="1" spans="1:28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customFormat="1" spans="1:28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customFormat="1" spans="1:28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spans="1:51">
      <c r="A48" s="48" t="s">
        <v>100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75"/>
      <c r="U48" s="77"/>
      <c r="V48" s="77"/>
      <c r="W48" s="77"/>
      <c r="X48" s="77"/>
      <c r="Y48" s="77"/>
      <c r="Z48" s="77"/>
      <c r="AA48" s="77"/>
      <c r="AB48" s="77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</row>
    <row r="49" s="25" customFormat="1" outlineLevel="1" spans="1:58">
      <c r="A49" s="34" t="s">
        <v>2</v>
      </c>
      <c r="B49" s="35" t="s">
        <v>3</v>
      </c>
      <c r="C49" s="36"/>
      <c r="D49" s="35" t="s">
        <v>4</v>
      </c>
      <c r="E49" s="52"/>
      <c r="F49" s="52"/>
      <c r="G49" s="52"/>
      <c r="H49" s="52"/>
      <c r="I49" s="52"/>
      <c r="J49" s="52"/>
      <c r="K49" s="52"/>
      <c r="L49" s="52"/>
      <c r="M49" s="58" t="s">
        <v>5</v>
      </c>
      <c r="N49" s="58" t="s">
        <v>6</v>
      </c>
      <c r="O49" s="58" t="s">
        <v>7</v>
      </c>
      <c r="P49" s="58" t="s">
        <v>8</v>
      </c>
      <c r="Q49" s="70" t="s">
        <v>75</v>
      </c>
      <c r="R49" s="58" t="s">
        <v>10</v>
      </c>
      <c r="S49" s="71" t="s">
        <v>11</v>
      </c>
      <c r="T49" s="72"/>
      <c r="U49" s="72"/>
      <c r="V49" s="72"/>
      <c r="W49" s="76" t="s">
        <v>12</v>
      </c>
      <c r="X49" s="76" t="s">
        <v>13</v>
      </c>
      <c r="Y49" s="78" t="s">
        <v>14</v>
      </c>
      <c r="Z49" s="78" t="s">
        <v>15</v>
      </c>
      <c r="AA49" s="78" t="s">
        <v>16</v>
      </c>
      <c r="AB49" s="58" t="s">
        <v>17</v>
      </c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</row>
    <row r="50" s="25" customFormat="1" ht="21.75" customHeight="1" outlineLevel="1" spans="1:58">
      <c r="A50" s="37"/>
      <c r="B50" s="38" t="s">
        <v>18</v>
      </c>
      <c r="C50" s="38" t="s">
        <v>19</v>
      </c>
      <c r="D50" s="38" t="s">
        <v>20</v>
      </c>
      <c r="E50" s="38" t="s">
        <v>21</v>
      </c>
      <c r="F50" s="38" t="s">
        <v>22</v>
      </c>
      <c r="G50" s="38" t="s">
        <v>23</v>
      </c>
      <c r="H50" s="38" t="s">
        <v>24</v>
      </c>
      <c r="I50" s="38" t="s">
        <v>25</v>
      </c>
      <c r="J50" s="38" t="s">
        <v>26</v>
      </c>
      <c r="K50" s="38" t="s">
        <v>27</v>
      </c>
      <c r="L50" s="38" t="s">
        <v>28</v>
      </c>
      <c r="M50" s="59"/>
      <c r="N50" s="59"/>
      <c r="O50" s="59"/>
      <c r="P50" s="59"/>
      <c r="Q50" s="73"/>
      <c r="R50" s="59"/>
      <c r="S50" s="74" t="s">
        <v>29</v>
      </c>
      <c r="T50" s="74" t="s">
        <v>30</v>
      </c>
      <c r="U50" s="74" t="s">
        <v>31</v>
      </c>
      <c r="V50" s="69" t="s">
        <v>32</v>
      </c>
      <c r="W50" s="69"/>
      <c r="X50" s="69"/>
      <c r="Y50" s="79"/>
      <c r="Z50" s="79"/>
      <c r="AA50" s="79"/>
      <c r="AB50" s="59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</row>
    <row r="51" ht="15.75" customHeight="1" outlineLevel="1" spans="1:28">
      <c r="A51" s="22" t="s">
        <v>101</v>
      </c>
      <c r="B51" s="39">
        <v>2</v>
      </c>
      <c r="C51" s="40" t="s">
        <v>34</v>
      </c>
      <c r="D51" s="40" t="s">
        <v>34</v>
      </c>
      <c r="E51" s="41">
        <v>34</v>
      </c>
      <c r="F51" s="40" t="s">
        <v>34</v>
      </c>
      <c r="G51" s="40" t="s">
        <v>34</v>
      </c>
      <c r="H51" s="40" t="s">
        <v>34</v>
      </c>
      <c r="I51" s="40" t="s">
        <v>34</v>
      </c>
      <c r="J51" s="40" t="s">
        <v>34</v>
      </c>
      <c r="K51" s="40" t="s">
        <v>34</v>
      </c>
      <c r="L51" s="40" t="s">
        <v>34</v>
      </c>
      <c r="M51" s="60" t="s">
        <v>35</v>
      </c>
      <c r="N51" s="61" t="s">
        <v>36</v>
      </c>
      <c r="O51" s="62" t="s">
        <v>37</v>
      </c>
      <c r="P51" s="63" t="s">
        <v>102</v>
      </c>
      <c r="Q51" s="64" t="s">
        <v>39</v>
      </c>
      <c r="R51" s="64" t="s">
        <v>40</v>
      </c>
      <c r="S51" s="64" t="s">
        <v>41</v>
      </c>
      <c r="T51" s="64" t="s">
        <v>41</v>
      </c>
      <c r="U51" s="64" t="s">
        <v>41</v>
      </c>
      <c r="V51" s="64" t="s">
        <v>41</v>
      </c>
      <c r="W51" s="64" t="s">
        <v>43</v>
      </c>
      <c r="X51" s="64" t="s">
        <v>43</v>
      </c>
      <c r="Y51" s="64">
        <v>1.3</v>
      </c>
      <c r="Z51" s="80">
        <f>E51*Y51+2</f>
        <v>46.2</v>
      </c>
      <c r="AA51" s="80">
        <f>(E51*Y51+2)*1.27</f>
        <v>58.674</v>
      </c>
      <c r="AB51" s="81" t="s">
        <v>46</v>
      </c>
    </row>
    <row r="52" ht="15.75" customHeight="1" outlineLevel="1" spans="1:28">
      <c r="A52" s="42" t="s">
        <v>103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82"/>
    </row>
    <row r="53" ht="17" outlineLevel="1" spans="1:27">
      <c r="A53" s="22" t="s">
        <v>104</v>
      </c>
      <c r="B53" s="39">
        <v>2</v>
      </c>
      <c r="C53" s="40" t="s">
        <v>34</v>
      </c>
      <c r="D53" s="40" t="s">
        <v>34</v>
      </c>
      <c r="E53" s="40" t="s">
        <v>34</v>
      </c>
      <c r="F53" s="40" t="s">
        <v>34</v>
      </c>
      <c r="G53" s="41">
        <v>17</v>
      </c>
      <c r="H53" s="40" t="s">
        <v>34</v>
      </c>
      <c r="I53" s="40" t="s">
        <v>34</v>
      </c>
      <c r="J53" s="40" t="s">
        <v>34</v>
      </c>
      <c r="K53" s="40" t="s">
        <v>34</v>
      </c>
      <c r="L53" s="40" t="s">
        <v>34</v>
      </c>
      <c r="M53" s="60" t="s">
        <v>35</v>
      </c>
      <c r="N53" s="61" t="s">
        <v>66</v>
      </c>
      <c r="O53" s="64" t="s">
        <v>50</v>
      </c>
      <c r="P53" s="63" t="s">
        <v>102</v>
      </c>
      <c r="Q53" s="64" t="s">
        <v>39</v>
      </c>
      <c r="R53" s="64" t="s">
        <v>40</v>
      </c>
      <c r="S53" s="64" t="s">
        <v>41</v>
      </c>
      <c r="T53" s="64" t="s">
        <v>41</v>
      </c>
      <c r="U53" s="64" t="s">
        <v>41</v>
      </c>
      <c r="V53" s="64" t="s">
        <v>41</v>
      </c>
      <c r="W53" s="64" t="s">
        <v>43</v>
      </c>
      <c r="X53" s="64" t="s">
        <v>43</v>
      </c>
      <c r="Y53" s="64">
        <v>1.9</v>
      </c>
      <c r="Z53" s="80">
        <f>G53*Y53+2</f>
        <v>34.3</v>
      </c>
      <c r="AA53" s="80">
        <f t="shared" ref="AA53:AA54" si="3">1.27*Z53</f>
        <v>43.561</v>
      </c>
    </row>
    <row r="54" ht="17" outlineLevel="1" spans="1:27">
      <c r="A54" s="22" t="s">
        <v>105</v>
      </c>
      <c r="B54" s="39">
        <v>2</v>
      </c>
      <c r="C54" s="40" t="s">
        <v>34</v>
      </c>
      <c r="D54" s="40" t="s">
        <v>34</v>
      </c>
      <c r="E54" s="40" t="s">
        <v>34</v>
      </c>
      <c r="F54" s="40" t="s">
        <v>34</v>
      </c>
      <c r="G54" s="40" t="s">
        <v>34</v>
      </c>
      <c r="H54" s="41">
        <v>17</v>
      </c>
      <c r="I54" s="40" t="s">
        <v>34</v>
      </c>
      <c r="J54" s="40" t="s">
        <v>34</v>
      </c>
      <c r="K54" s="40" t="s">
        <v>34</v>
      </c>
      <c r="L54" s="40" t="s">
        <v>34</v>
      </c>
      <c r="M54" s="60" t="s">
        <v>35</v>
      </c>
      <c r="N54" s="61" t="s">
        <v>66</v>
      </c>
      <c r="O54" s="62" t="s">
        <v>37</v>
      </c>
      <c r="P54" s="63" t="s">
        <v>102</v>
      </c>
      <c r="Q54" s="64" t="s">
        <v>39</v>
      </c>
      <c r="R54" s="64" t="s">
        <v>40</v>
      </c>
      <c r="S54" s="64" t="s">
        <v>41</v>
      </c>
      <c r="T54" s="64" t="s">
        <v>41</v>
      </c>
      <c r="U54" s="64" t="s">
        <v>41</v>
      </c>
      <c r="V54" s="64" t="s">
        <v>41</v>
      </c>
      <c r="W54" s="64" t="s">
        <v>43</v>
      </c>
      <c r="X54" s="64" t="s">
        <v>43</v>
      </c>
      <c r="Y54" s="64">
        <v>1.5</v>
      </c>
      <c r="Z54" s="80">
        <f>H54*Y54+2</f>
        <v>27.5</v>
      </c>
      <c r="AA54" s="80">
        <f t="shared" si="3"/>
        <v>34.925</v>
      </c>
    </row>
    <row r="55" ht="17" outlineLevel="1" spans="1:27">
      <c r="A55" s="22" t="s">
        <v>106</v>
      </c>
      <c r="B55" s="39">
        <v>2</v>
      </c>
      <c r="C55" s="40" t="s">
        <v>34</v>
      </c>
      <c r="D55" s="39" t="s">
        <v>107</v>
      </c>
      <c r="E55" s="39"/>
      <c r="F55" s="39"/>
      <c r="G55" s="39"/>
      <c r="H55" s="39"/>
      <c r="I55" s="39"/>
      <c r="J55" s="39"/>
      <c r="K55" s="39"/>
      <c r="L55" s="39"/>
      <c r="M55" s="60" t="s">
        <v>35</v>
      </c>
      <c r="N55" s="61" t="s">
        <v>66</v>
      </c>
      <c r="O55" s="64" t="s">
        <v>50</v>
      </c>
      <c r="P55" s="63" t="s">
        <v>102</v>
      </c>
      <c r="Q55" s="64" t="s">
        <v>39</v>
      </c>
      <c r="R55" s="64" t="s">
        <v>40</v>
      </c>
      <c r="S55" s="64" t="s">
        <v>41</v>
      </c>
      <c r="T55" s="64" t="s">
        <v>41</v>
      </c>
      <c r="U55" s="64" t="s">
        <v>41</v>
      </c>
      <c r="V55" s="64" t="s">
        <v>41</v>
      </c>
      <c r="W55" s="64" t="s">
        <v>43</v>
      </c>
      <c r="X55" s="64" t="s">
        <v>43</v>
      </c>
      <c r="Y55" s="64"/>
      <c r="Z55" s="64"/>
      <c r="AA55" s="64"/>
    </row>
    <row r="56" spans="1:60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1:60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1:60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51">
      <c r="A59" s="48" t="s">
        <v>108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75"/>
      <c r="U59" s="77"/>
      <c r="V59" s="77"/>
      <c r="W59" s="77"/>
      <c r="X59" s="77"/>
      <c r="Y59" s="77"/>
      <c r="Z59" s="77"/>
      <c r="AA59" s="77"/>
      <c r="AB59" s="77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</row>
    <row r="60" s="25" customFormat="1" outlineLevel="1" spans="1:58">
      <c r="A60" s="34" t="s">
        <v>2</v>
      </c>
      <c r="B60" s="35" t="s">
        <v>3</v>
      </c>
      <c r="C60" s="36"/>
      <c r="D60" s="35" t="s">
        <v>4</v>
      </c>
      <c r="E60" s="52"/>
      <c r="F60" s="52"/>
      <c r="G60" s="52"/>
      <c r="H60" s="52"/>
      <c r="I60" s="52"/>
      <c r="J60" s="52"/>
      <c r="K60" s="52"/>
      <c r="L60" s="52"/>
      <c r="M60" s="58" t="s">
        <v>109</v>
      </c>
      <c r="N60" s="58" t="s">
        <v>6</v>
      </c>
      <c r="O60" s="58" t="s">
        <v>7</v>
      </c>
      <c r="P60" s="58" t="s">
        <v>8</v>
      </c>
      <c r="Q60" s="70" t="s">
        <v>75</v>
      </c>
      <c r="R60" s="58" t="s">
        <v>10</v>
      </c>
      <c r="S60" s="71" t="s">
        <v>11</v>
      </c>
      <c r="T60" s="72"/>
      <c r="U60" s="72"/>
      <c r="V60" s="72"/>
      <c r="W60" s="76" t="s">
        <v>12</v>
      </c>
      <c r="X60" s="76" t="s">
        <v>13</v>
      </c>
      <c r="Y60" s="78" t="s">
        <v>14</v>
      </c>
      <c r="Z60" s="78" t="s">
        <v>15</v>
      </c>
      <c r="AA60" s="78" t="s">
        <v>16</v>
      </c>
      <c r="AB60" s="58" t="s">
        <v>17</v>
      </c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</row>
    <row r="61" s="25" customFormat="1" ht="21.75" customHeight="1" outlineLevel="1" spans="1:58">
      <c r="A61" s="37"/>
      <c r="B61" s="38" t="s">
        <v>18</v>
      </c>
      <c r="C61" s="38" t="s">
        <v>19</v>
      </c>
      <c r="D61" s="38" t="s">
        <v>20</v>
      </c>
      <c r="E61" s="38" t="s">
        <v>21</v>
      </c>
      <c r="F61" s="38" t="s">
        <v>22</v>
      </c>
      <c r="G61" s="38" t="s">
        <v>23</v>
      </c>
      <c r="H61" s="38" t="s">
        <v>24</v>
      </c>
      <c r="I61" s="38" t="s">
        <v>25</v>
      </c>
      <c r="J61" s="38" t="s">
        <v>26</v>
      </c>
      <c r="K61" s="38" t="s">
        <v>27</v>
      </c>
      <c r="L61" s="38" t="s">
        <v>28</v>
      </c>
      <c r="M61" s="59"/>
      <c r="N61" s="59"/>
      <c r="O61" s="59"/>
      <c r="P61" s="59"/>
      <c r="Q61" s="73"/>
      <c r="R61" s="59"/>
      <c r="S61" s="74" t="s">
        <v>29</v>
      </c>
      <c r="T61" s="74" t="s">
        <v>30</v>
      </c>
      <c r="U61" s="74" t="s">
        <v>31</v>
      </c>
      <c r="V61" s="69" t="s">
        <v>32</v>
      </c>
      <c r="W61" s="69"/>
      <c r="X61" s="69"/>
      <c r="Y61" s="79"/>
      <c r="Z61" s="79"/>
      <c r="AA61" s="79"/>
      <c r="AB61" s="59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</row>
    <row r="62" ht="18.75" customHeight="1" outlineLevel="1" spans="1:27">
      <c r="A62" s="22" t="s">
        <v>101</v>
      </c>
      <c r="B62" s="39">
        <v>2</v>
      </c>
      <c r="C62" s="40" t="s">
        <v>34</v>
      </c>
      <c r="D62" s="40" t="s">
        <v>34</v>
      </c>
      <c r="E62" s="40" t="s">
        <v>34</v>
      </c>
      <c r="F62" s="40" t="s">
        <v>34</v>
      </c>
      <c r="G62" s="40" t="s">
        <v>34</v>
      </c>
      <c r="H62" s="40" t="s">
        <v>34</v>
      </c>
      <c r="I62" s="40" t="s">
        <v>34</v>
      </c>
      <c r="J62" s="41">
        <v>19</v>
      </c>
      <c r="K62" s="40" t="s">
        <v>34</v>
      </c>
      <c r="L62" s="40" t="s">
        <v>34</v>
      </c>
      <c r="M62" s="60" t="s">
        <v>35</v>
      </c>
      <c r="N62" s="61" t="s">
        <v>110</v>
      </c>
      <c r="O62" s="64" t="s">
        <v>50</v>
      </c>
      <c r="P62" s="63" t="s">
        <v>111</v>
      </c>
      <c r="Q62" s="64" t="s">
        <v>39</v>
      </c>
      <c r="R62" s="64" t="s">
        <v>40</v>
      </c>
      <c r="S62" s="64" t="s">
        <v>41</v>
      </c>
      <c r="T62" s="64" t="s">
        <v>41</v>
      </c>
      <c r="U62" s="64" t="s">
        <v>41</v>
      </c>
      <c r="V62" s="64" t="s">
        <v>41</v>
      </c>
      <c r="W62" s="64" t="s">
        <v>42</v>
      </c>
      <c r="X62" s="64" t="s">
        <v>43</v>
      </c>
      <c r="Y62" s="64">
        <v>2</v>
      </c>
      <c r="Z62" s="64">
        <f>J62*Y62+2</f>
        <v>40</v>
      </c>
      <c r="AA62" s="80">
        <f t="shared" ref="AA62:AA64" si="4">1.27*Z62</f>
        <v>50.8</v>
      </c>
    </row>
    <row r="63" ht="17" outlineLevel="1" spans="1:27">
      <c r="A63" s="22" t="s">
        <v>104</v>
      </c>
      <c r="B63" s="39">
        <v>2</v>
      </c>
      <c r="C63" s="40" t="s">
        <v>34</v>
      </c>
      <c r="D63" s="40" t="s">
        <v>34</v>
      </c>
      <c r="E63" s="40" t="s">
        <v>34</v>
      </c>
      <c r="F63" s="40" t="s">
        <v>34</v>
      </c>
      <c r="G63" s="40" t="s">
        <v>34</v>
      </c>
      <c r="H63" s="40" t="s">
        <v>34</v>
      </c>
      <c r="I63" s="40" t="s">
        <v>34</v>
      </c>
      <c r="J63" s="41">
        <v>19</v>
      </c>
      <c r="K63" s="40" t="s">
        <v>34</v>
      </c>
      <c r="L63" s="40" t="s">
        <v>34</v>
      </c>
      <c r="M63" s="65" t="s">
        <v>112</v>
      </c>
      <c r="N63" s="61" t="s">
        <v>110</v>
      </c>
      <c r="O63" s="64" t="s">
        <v>50</v>
      </c>
      <c r="P63" s="63" t="s">
        <v>111</v>
      </c>
      <c r="Q63" s="64" t="s">
        <v>39</v>
      </c>
      <c r="R63" s="64" t="s">
        <v>40</v>
      </c>
      <c r="S63" s="64" t="s">
        <v>78</v>
      </c>
      <c r="T63" s="64" t="s">
        <v>79</v>
      </c>
      <c r="U63" s="64" t="s">
        <v>80</v>
      </c>
      <c r="V63" s="64" t="s">
        <v>81</v>
      </c>
      <c r="W63" s="64" t="s">
        <v>42</v>
      </c>
      <c r="X63" s="64" t="s">
        <v>43</v>
      </c>
      <c r="Y63" s="64">
        <v>2</v>
      </c>
      <c r="Z63" s="64">
        <f>J63*Y63+2</f>
        <v>40</v>
      </c>
      <c r="AA63" s="80">
        <f t="shared" si="4"/>
        <v>50.8</v>
      </c>
    </row>
    <row r="64" ht="17" outlineLevel="1" spans="1:27">
      <c r="A64" s="22" t="s">
        <v>105</v>
      </c>
      <c r="B64" s="39">
        <v>2</v>
      </c>
      <c r="C64" s="40" t="s">
        <v>34</v>
      </c>
      <c r="D64" s="40" t="s">
        <v>34</v>
      </c>
      <c r="E64" s="40" t="s">
        <v>34</v>
      </c>
      <c r="F64" s="40" t="s">
        <v>34</v>
      </c>
      <c r="G64" s="40" t="s">
        <v>34</v>
      </c>
      <c r="H64" s="40" t="s">
        <v>34</v>
      </c>
      <c r="I64" s="40" t="s">
        <v>34</v>
      </c>
      <c r="J64" s="40" t="s">
        <v>34</v>
      </c>
      <c r="K64" s="40" t="s">
        <v>34</v>
      </c>
      <c r="L64" s="44">
        <v>5</v>
      </c>
      <c r="M64" s="65" t="s">
        <v>112</v>
      </c>
      <c r="N64" s="61" t="s">
        <v>97</v>
      </c>
      <c r="O64" s="64" t="s">
        <v>50</v>
      </c>
      <c r="P64" s="63" t="s">
        <v>111</v>
      </c>
      <c r="Q64" s="64" t="s">
        <v>39</v>
      </c>
      <c r="R64" s="64" t="s">
        <v>62</v>
      </c>
      <c r="S64" s="64" t="s">
        <v>78</v>
      </c>
      <c r="T64" s="64" t="s">
        <v>79</v>
      </c>
      <c r="U64" s="64" t="s">
        <v>80</v>
      </c>
      <c r="V64" s="64" t="s">
        <v>81</v>
      </c>
      <c r="W64" s="64" t="s">
        <v>42</v>
      </c>
      <c r="X64" s="64" t="s">
        <v>43</v>
      </c>
      <c r="Y64" s="64">
        <v>8</v>
      </c>
      <c r="Z64" s="64">
        <f>L64*Y64+2</f>
        <v>42</v>
      </c>
      <c r="AA64" s="80">
        <f t="shared" si="4"/>
        <v>53.34</v>
      </c>
    </row>
  </sheetData>
  <mergeCells count="83">
    <mergeCell ref="A1:AB1"/>
    <mergeCell ref="A2:AB2"/>
    <mergeCell ref="B3:C3"/>
    <mergeCell ref="D3:L3"/>
    <mergeCell ref="S3:V3"/>
    <mergeCell ref="A7:AB7"/>
    <mergeCell ref="D16:J16"/>
    <mergeCell ref="D17:J17"/>
    <mergeCell ref="D18:J18"/>
    <mergeCell ref="D19:J19"/>
    <mergeCell ref="D20:J20"/>
    <mergeCell ref="A24:AB24"/>
    <mergeCell ref="B25:C25"/>
    <mergeCell ref="D25:L25"/>
    <mergeCell ref="S25:V25"/>
    <mergeCell ref="A29:AB29"/>
    <mergeCell ref="D40:J40"/>
    <mergeCell ref="D41:J41"/>
    <mergeCell ref="D42:J42"/>
    <mergeCell ref="D43:J43"/>
    <mergeCell ref="D44:J44"/>
    <mergeCell ref="A48:T48"/>
    <mergeCell ref="B49:C49"/>
    <mergeCell ref="D49:L49"/>
    <mergeCell ref="S49:V49"/>
    <mergeCell ref="A52:AB52"/>
    <mergeCell ref="D55:L55"/>
    <mergeCell ref="A59:T59"/>
    <mergeCell ref="B60:C60"/>
    <mergeCell ref="D60:L60"/>
    <mergeCell ref="S60:V60"/>
    <mergeCell ref="A3:A4"/>
    <mergeCell ref="A25:A26"/>
    <mergeCell ref="A49:A50"/>
    <mergeCell ref="A60:A61"/>
    <mergeCell ref="M3:M4"/>
    <mergeCell ref="M25:M26"/>
    <mergeCell ref="M49:M50"/>
    <mergeCell ref="M60:M61"/>
    <mergeCell ref="N3:N4"/>
    <mergeCell ref="N25:N26"/>
    <mergeCell ref="N49:N50"/>
    <mergeCell ref="N60:N61"/>
    <mergeCell ref="O3:O4"/>
    <mergeCell ref="O25:O26"/>
    <mergeCell ref="O49:O50"/>
    <mergeCell ref="O60:O61"/>
    <mergeCell ref="P3:P4"/>
    <mergeCell ref="P25:P26"/>
    <mergeCell ref="P49:P50"/>
    <mergeCell ref="P60:P61"/>
    <mergeCell ref="Q3:Q4"/>
    <mergeCell ref="Q25:Q26"/>
    <mergeCell ref="Q49:Q50"/>
    <mergeCell ref="Q60:Q61"/>
    <mergeCell ref="R3:R4"/>
    <mergeCell ref="R25:R26"/>
    <mergeCell ref="R49:R50"/>
    <mergeCell ref="R60:R61"/>
    <mergeCell ref="W3:W4"/>
    <mergeCell ref="W25:W26"/>
    <mergeCell ref="W49:W50"/>
    <mergeCell ref="W60:W61"/>
    <mergeCell ref="X3:X4"/>
    <mergeCell ref="X25:X26"/>
    <mergeCell ref="X49:X50"/>
    <mergeCell ref="X60:X61"/>
    <mergeCell ref="Y3:Y4"/>
    <mergeCell ref="Y25:Y26"/>
    <mergeCell ref="Y49:Y50"/>
    <mergeCell ref="Y60:Y61"/>
    <mergeCell ref="Z3:Z4"/>
    <mergeCell ref="Z25:Z26"/>
    <mergeCell ref="Z49:Z50"/>
    <mergeCell ref="Z60:Z61"/>
    <mergeCell ref="AA3:AA4"/>
    <mergeCell ref="AA25:AA26"/>
    <mergeCell ref="AA49:AA50"/>
    <mergeCell ref="AA60:AA61"/>
    <mergeCell ref="AB3:AB4"/>
    <mergeCell ref="AB25:AB26"/>
    <mergeCell ref="AB49:AB50"/>
    <mergeCell ref="AB60:AB6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A20" sqref="$A20:$XFD20"/>
    </sheetView>
  </sheetViews>
  <sheetFormatPr defaultColWidth="9.23076923076923" defaultRowHeight="16.8"/>
  <cols>
    <col min="1" max="1" width="10.6346153846154" customWidth="1"/>
    <col min="2" max="2" width="43.7211538461538" customWidth="1"/>
    <col min="3" max="3" width="6.26923076923077" customWidth="1"/>
    <col min="4" max="4" width="8.90384615384615" customWidth="1"/>
    <col min="5" max="5" width="14" customWidth="1"/>
    <col min="6" max="6" width="14.2692307692308" customWidth="1"/>
    <col min="7" max="7" width="10.6346153846154" customWidth="1"/>
    <col min="8" max="8" width="15" customWidth="1"/>
    <col min="9" max="9" width="16.4519230769231" customWidth="1"/>
    <col min="10" max="11" width="16.7211538461538" customWidth="1"/>
    <col min="12" max="12" width="14.3653846153846" customWidth="1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20" t="s">
        <v>113</v>
      </c>
      <c r="K1" s="20"/>
      <c r="L1" s="20"/>
    </row>
    <row r="2" ht="68" spans="1:12">
      <c r="A2" s="4" t="s">
        <v>114</v>
      </c>
      <c r="B2" s="4" t="s">
        <v>115</v>
      </c>
      <c r="C2" s="4" t="s">
        <v>116</v>
      </c>
      <c r="D2" s="5" t="s">
        <v>117</v>
      </c>
      <c r="E2" s="5" t="s">
        <v>118</v>
      </c>
      <c r="F2" s="5" t="s">
        <v>119</v>
      </c>
      <c r="G2" s="17" t="s">
        <v>120</v>
      </c>
      <c r="H2" s="4" t="s">
        <v>121</v>
      </c>
      <c r="I2" s="4" t="s">
        <v>122</v>
      </c>
      <c r="J2" s="21" t="s">
        <v>123</v>
      </c>
      <c r="K2" s="21" t="s">
        <v>124</v>
      </c>
      <c r="L2" s="21" t="s">
        <v>125</v>
      </c>
    </row>
    <row r="3" ht="17" spans="1:12">
      <c r="A3" s="6" t="s">
        <v>126</v>
      </c>
      <c r="B3" s="7" t="s">
        <v>127</v>
      </c>
      <c r="C3" s="8" t="s">
        <v>128</v>
      </c>
      <c r="D3" s="8">
        <v>1</v>
      </c>
      <c r="E3" s="8">
        <v>0</v>
      </c>
      <c r="F3" s="8">
        <v>1</v>
      </c>
      <c r="G3" s="8" t="s">
        <v>129</v>
      </c>
      <c r="H3" s="8" t="s">
        <v>130</v>
      </c>
      <c r="I3" s="22" t="s">
        <v>131</v>
      </c>
      <c r="J3" s="23" t="s">
        <v>67</v>
      </c>
      <c r="K3" s="23" t="s">
        <v>67</v>
      </c>
      <c r="L3" s="23" t="s">
        <v>67</v>
      </c>
    </row>
    <row r="4" ht="17" spans="1:12">
      <c r="A4" s="6" t="s">
        <v>132</v>
      </c>
      <c r="B4" s="7" t="s">
        <v>133</v>
      </c>
      <c r="C4" s="8" t="s">
        <v>128</v>
      </c>
      <c r="D4" s="8">
        <v>1</v>
      </c>
      <c r="E4" s="8">
        <v>0</v>
      </c>
      <c r="F4" s="8">
        <v>1</v>
      </c>
      <c r="G4" s="8" t="s">
        <v>134</v>
      </c>
      <c r="H4" s="8" t="s">
        <v>130</v>
      </c>
      <c r="I4" s="22" t="s">
        <v>131</v>
      </c>
      <c r="J4" s="23" t="s">
        <v>67</v>
      </c>
      <c r="K4" s="23" t="s">
        <v>67</v>
      </c>
      <c r="L4" s="23" t="s">
        <v>67</v>
      </c>
    </row>
    <row r="5" ht="17" spans="1:12">
      <c r="A5" s="7" t="s">
        <v>135</v>
      </c>
      <c r="B5" s="7" t="s">
        <v>136</v>
      </c>
      <c r="C5" s="8" t="s">
        <v>128</v>
      </c>
      <c r="D5" s="8">
        <v>1</v>
      </c>
      <c r="E5" s="8">
        <v>0</v>
      </c>
      <c r="F5" s="8">
        <v>1</v>
      </c>
      <c r="G5" s="8" t="s">
        <v>134</v>
      </c>
      <c r="H5" s="8" t="s">
        <v>137</v>
      </c>
      <c r="I5" s="22" t="s">
        <v>138</v>
      </c>
      <c r="J5" s="23" t="s">
        <v>139</v>
      </c>
      <c r="K5" s="23" t="s">
        <v>140</v>
      </c>
      <c r="L5" s="23" t="s">
        <v>141</v>
      </c>
    </row>
    <row r="6" ht="17" spans="1:12">
      <c r="A6" s="7" t="s">
        <v>142</v>
      </c>
      <c r="B6" s="7" t="s">
        <v>143</v>
      </c>
      <c r="C6" s="8" t="s">
        <v>128</v>
      </c>
      <c r="D6" s="8">
        <v>1</v>
      </c>
      <c r="E6" s="8">
        <v>0</v>
      </c>
      <c r="F6" s="8">
        <v>1</v>
      </c>
      <c r="G6" s="8" t="s">
        <v>134</v>
      </c>
      <c r="H6" s="8" t="s">
        <v>137</v>
      </c>
      <c r="I6" s="22" t="s">
        <v>138</v>
      </c>
      <c r="J6" s="23" t="s">
        <v>139</v>
      </c>
      <c r="K6" s="23" t="s">
        <v>140</v>
      </c>
      <c r="L6" s="23" t="s">
        <v>141</v>
      </c>
    </row>
    <row r="7" ht="17" spans="1:12">
      <c r="A7" s="7" t="s">
        <v>144</v>
      </c>
      <c r="B7" s="7" t="s">
        <v>145</v>
      </c>
      <c r="C7" s="8" t="s">
        <v>146</v>
      </c>
      <c r="D7" s="8">
        <v>1</v>
      </c>
      <c r="E7" s="8">
        <v>0</v>
      </c>
      <c r="F7" s="8">
        <v>1</v>
      </c>
      <c r="G7" s="8" t="s">
        <v>134</v>
      </c>
      <c r="H7" s="8" t="s">
        <v>147</v>
      </c>
      <c r="I7" s="22" t="s">
        <v>148</v>
      </c>
      <c r="J7" s="23" t="s">
        <v>67</v>
      </c>
      <c r="K7" s="23" t="s">
        <v>67</v>
      </c>
      <c r="L7" s="23" t="s">
        <v>67</v>
      </c>
    </row>
    <row r="8" ht="17" spans="1:12">
      <c r="A8" s="7" t="s">
        <v>149</v>
      </c>
      <c r="B8" s="7" t="s">
        <v>150</v>
      </c>
      <c r="C8" s="8" t="s">
        <v>146</v>
      </c>
      <c r="D8" s="8">
        <v>1</v>
      </c>
      <c r="E8" s="8">
        <v>0</v>
      </c>
      <c r="F8" s="8">
        <v>1</v>
      </c>
      <c r="G8" s="8" t="s">
        <v>134</v>
      </c>
      <c r="H8" s="8" t="s">
        <v>147</v>
      </c>
      <c r="I8" s="22" t="s">
        <v>148</v>
      </c>
      <c r="J8" s="23" t="s">
        <v>67</v>
      </c>
      <c r="K8" s="23" t="s">
        <v>67</v>
      </c>
      <c r="L8" s="23" t="s">
        <v>67</v>
      </c>
    </row>
    <row r="9" ht="17" spans="1:12">
      <c r="A9" s="7" t="s">
        <v>151</v>
      </c>
      <c r="B9" s="7" t="s">
        <v>152</v>
      </c>
      <c r="C9" s="8" t="s">
        <v>146</v>
      </c>
      <c r="D9" s="8">
        <v>1</v>
      </c>
      <c r="E9" s="8">
        <v>0</v>
      </c>
      <c r="F9" s="8">
        <v>1</v>
      </c>
      <c r="G9" s="8" t="s">
        <v>134</v>
      </c>
      <c r="H9" s="8" t="s">
        <v>153</v>
      </c>
      <c r="I9" s="22" t="s">
        <v>154</v>
      </c>
      <c r="J9" s="23" t="s">
        <v>155</v>
      </c>
      <c r="K9" s="23" t="s">
        <v>156</v>
      </c>
      <c r="L9" s="23" t="s">
        <v>157</v>
      </c>
    </row>
    <row r="10" ht="17" spans="1:12">
      <c r="A10" s="7" t="s">
        <v>158</v>
      </c>
      <c r="B10" s="7" t="s">
        <v>159</v>
      </c>
      <c r="C10" s="8" t="s">
        <v>146</v>
      </c>
      <c r="D10" s="8">
        <v>1</v>
      </c>
      <c r="E10" s="8">
        <v>0</v>
      </c>
      <c r="F10" s="8">
        <v>1</v>
      </c>
      <c r="G10" s="8" t="s">
        <v>134</v>
      </c>
      <c r="H10" s="8" t="s">
        <v>153</v>
      </c>
      <c r="I10" s="22" t="s">
        <v>154</v>
      </c>
      <c r="J10" s="23" t="s">
        <v>155</v>
      </c>
      <c r="K10" s="23" t="s">
        <v>156</v>
      </c>
      <c r="L10" s="23" t="s">
        <v>157</v>
      </c>
    </row>
    <row r="11" ht="17" spans="1:12">
      <c r="A11" s="7" t="s">
        <v>160</v>
      </c>
      <c r="B11" s="7" t="s">
        <v>161</v>
      </c>
      <c r="C11" s="8" t="s">
        <v>146</v>
      </c>
      <c r="D11" s="8">
        <v>1</v>
      </c>
      <c r="E11" s="8">
        <v>0</v>
      </c>
      <c r="F11" s="8">
        <v>1</v>
      </c>
      <c r="G11" s="8" t="s">
        <v>134</v>
      </c>
      <c r="H11" s="8" t="s">
        <v>162</v>
      </c>
      <c r="I11" s="22" t="s">
        <v>163</v>
      </c>
      <c r="J11" s="23" t="s">
        <v>155</v>
      </c>
      <c r="K11" s="23" t="s">
        <v>164</v>
      </c>
      <c r="L11" s="23" t="s">
        <v>165</v>
      </c>
    </row>
    <row r="12" ht="17" spans="1:12">
      <c r="A12" s="7" t="s">
        <v>166</v>
      </c>
      <c r="B12" s="7" t="s">
        <v>167</v>
      </c>
      <c r="C12" s="8" t="s">
        <v>146</v>
      </c>
      <c r="D12" s="8">
        <v>1</v>
      </c>
      <c r="E12" s="8">
        <v>0</v>
      </c>
      <c r="F12" s="8">
        <v>1</v>
      </c>
      <c r="G12" s="8" t="s">
        <v>134</v>
      </c>
      <c r="H12" s="8" t="s">
        <v>162</v>
      </c>
      <c r="I12" s="22" t="s">
        <v>163</v>
      </c>
      <c r="J12" s="23" t="s">
        <v>155</v>
      </c>
      <c r="K12" s="23" t="s">
        <v>164</v>
      </c>
      <c r="L12" s="23" t="s">
        <v>165</v>
      </c>
    </row>
    <row r="13" ht="17" spans="1:12">
      <c r="A13" s="7" t="s">
        <v>168</v>
      </c>
      <c r="B13" s="7" t="s">
        <v>169</v>
      </c>
      <c r="C13" s="8" t="s">
        <v>146</v>
      </c>
      <c r="D13" s="8">
        <v>1</v>
      </c>
      <c r="E13" s="8">
        <v>0</v>
      </c>
      <c r="F13" s="8">
        <v>1</v>
      </c>
      <c r="G13" s="8" t="s">
        <v>134</v>
      </c>
      <c r="H13" s="8" t="s">
        <v>153</v>
      </c>
      <c r="I13" s="22" t="s">
        <v>170</v>
      </c>
      <c r="J13" s="23" t="s">
        <v>67</v>
      </c>
      <c r="K13" s="23" t="s">
        <v>67</v>
      </c>
      <c r="L13" s="23" t="s">
        <v>67</v>
      </c>
    </row>
    <row r="14" ht="17" spans="1:12">
      <c r="A14" s="7" t="s">
        <v>171</v>
      </c>
      <c r="B14" s="7" t="s">
        <v>172</v>
      </c>
      <c r="C14" s="8" t="s">
        <v>146</v>
      </c>
      <c r="D14" s="8">
        <v>1</v>
      </c>
      <c r="E14" s="8">
        <v>0</v>
      </c>
      <c r="F14" s="8">
        <v>1</v>
      </c>
      <c r="G14" s="8" t="s">
        <v>134</v>
      </c>
      <c r="H14" s="8" t="s">
        <v>153</v>
      </c>
      <c r="I14" s="22" t="s">
        <v>170</v>
      </c>
      <c r="J14" s="23" t="s">
        <v>67</v>
      </c>
      <c r="K14" s="23" t="s">
        <v>67</v>
      </c>
      <c r="L14" s="23" t="s">
        <v>67</v>
      </c>
    </row>
    <row r="15" ht="17" spans="1:12">
      <c r="A15" s="7" t="s">
        <v>173</v>
      </c>
      <c r="B15" s="7" t="s">
        <v>174</v>
      </c>
      <c r="C15" s="8" t="s">
        <v>146</v>
      </c>
      <c r="D15" s="8">
        <v>1</v>
      </c>
      <c r="E15" s="8">
        <v>0</v>
      </c>
      <c r="F15" s="8">
        <v>1</v>
      </c>
      <c r="G15" s="8" t="s">
        <v>134</v>
      </c>
      <c r="H15" s="8" t="s">
        <v>175</v>
      </c>
      <c r="I15" s="23" t="s">
        <v>67</v>
      </c>
      <c r="J15" s="23" t="s">
        <v>67</v>
      </c>
      <c r="K15" s="23" t="s">
        <v>67</v>
      </c>
      <c r="L15" s="23" t="s">
        <v>67</v>
      </c>
    </row>
    <row r="16" ht="17" spans="1:12">
      <c r="A16" s="9" t="s">
        <v>176</v>
      </c>
      <c r="B16" s="7" t="s">
        <v>177</v>
      </c>
      <c r="C16" s="10" t="s">
        <v>146</v>
      </c>
      <c r="D16" s="8">
        <v>1</v>
      </c>
      <c r="E16" s="8">
        <v>0</v>
      </c>
      <c r="F16" s="8">
        <v>1</v>
      </c>
      <c r="G16" s="7" t="s">
        <v>134</v>
      </c>
      <c r="H16" s="8" t="s">
        <v>175</v>
      </c>
      <c r="I16" s="23" t="s">
        <v>67</v>
      </c>
      <c r="J16" s="23" t="s">
        <v>67</v>
      </c>
      <c r="K16" s="23" t="s">
        <v>67</v>
      </c>
      <c r="L16" s="23" t="s">
        <v>67</v>
      </c>
    </row>
    <row r="17" s="1" customFormat="1" ht="17" spans="1:12">
      <c r="A17" s="11" t="s">
        <v>178</v>
      </c>
      <c r="B17" s="11" t="s">
        <v>179</v>
      </c>
      <c r="C17" s="12" t="s">
        <v>180</v>
      </c>
      <c r="D17" s="13" t="s">
        <v>181</v>
      </c>
      <c r="E17" s="18">
        <v>0.666666666666667</v>
      </c>
      <c r="F17" s="13">
        <v>3</v>
      </c>
      <c r="G17" s="11" t="s">
        <v>134</v>
      </c>
      <c r="H17" s="13" t="s">
        <v>182</v>
      </c>
      <c r="I17" s="24" t="s">
        <v>183</v>
      </c>
      <c r="J17" s="24" t="s">
        <v>67</v>
      </c>
      <c r="K17" s="24" t="s">
        <v>67</v>
      </c>
      <c r="L17" s="24" t="s">
        <v>67</v>
      </c>
    </row>
    <row r="18" ht="17" spans="1:12">
      <c r="A18" s="7" t="s">
        <v>184</v>
      </c>
      <c r="B18" s="7" t="s">
        <v>185</v>
      </c>
      <c r="C18" s="10" t="s">
        <v>186</v>
      </c>
      <c r="D18" s="8">
        <v>1</v>
      </c>
      <c r="E18" s="8">
        <v>3</v>
      </c>
      <c r="F18" s="8">
        <v>3</v>
      </c>
      <c r="G18" s="7" t="s">
        <v>134</v>
      </c>
      <c r="H18" s="8" t="s">
        <v>187</v>
      </c>
      <c r="I18" s="23" t="s">
        <v>67</v>
      </c>
      <c r="J18" s="23" t="s">
        <v>67</v>
      </c>
      <c r="K18" s="23" t="s">
        <v>67</v>
      </c>
      <c r="L18" s="23" t="s">
        <v>67</v>
      </c>
    </row>
    <row r="19" s="2" customFormat="1" spans="1:12">
      <c r="A19" s="14" t="s">
        <v>188</v>
      </c>
      <c r="B19" s="14" t="s">
        <v>189</v>
      </c>
      <c r="C19" s="15" t="s">
        <v>186</v>
      </c>
      <c r="D19" s="16" t="s">
        <v>181</v>
      </c>
      <c r="E19" s="19">
        <v>0.75</v>
      </c>
      <c r="F19" s="16">
        <v>4</v>
      </c>
      <c r="G19" s="14" t="s">
        <v>134</v>
      </c>
      <c r="H19" s="15" t="s">
        <v>190</v>
      </c>
      <c r="I19" s="14" t="s">
        <v>191</v>
      </c>
      <c r="J19" s="16" t="s">
        <v>67</v>
      </c>
      <c r="K19" s="16" t="s">
        <v>67</v>
      </c>
      <c r="L19" s="16" t="s">
        <v>67</v>
      </c>
    </row>
  </sheetData>
  <mergeCells count="1">
    <mergeCell ref="J1:L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���e�^�ech0�ech�ech\b��Q�[{|�Wh��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ED2805B-4FDE-4642-A1F4-D19D251FE5D3}">
  <ds:schemaRefs/>
</ds:datastoreItem>
</file>

<file path=customXml/itemProps2.xml><?xml version="1.0" encoding="utf-8"?>
<ds:datastoreItem xmlns:ds="http://schemas.openxmlformats.org/officeDocument/2006/customXml" ds:itemID="{39C9BD9E-BCCF-4B53-A6F2-481AFDEDE59E}">
  <ds:schemaRefs/>
</ds:datastoreItem>
</file>

<file path=customXml/itemProps3.xml><?xml version="1.0" encoding="utf-8"?>
<ds:datastoreItem xmlns:ds="http://schemas.openxmlformats.org/officeDocument/2006/customXml" ds:itemID="{F9E3AD02-0E1E-496D-94B9-BB24993588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H3C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</vt:lpstr>
      <vt:lpstr>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wangjunqing ys4192 (CW)</dc:creator>
  <cp:lastModifiedBy>xxxx</cp:lastModifiedBy>
  <dcterms:created xsi:type="dcterms:W3CDTF">2021-07-08T17:46:00Z</dcterms:created>
  <dcterms:modified xsi:type="dcterms:W3CDTF">2025-09-05T09:12:06Z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0x0101002CE4835B943273439920F55FB298DB7E</vt:lpwstr>
  </property>
  <property fmtid="{D5CDD505-2E9C-101B-9397-08002B2CF9AE}" pid="3" name="FileTypes">
    <vt:lpwstr>配置指导;</vt:lpwstr>
  </property>
  <property fmtid="{D5CDD505-2E9C-101B-9397-08002B2CF9AE}" pid="4" name="EncryptVisitors">
    <vt:lpwstr/>
  </property>
  <property fmtid="{D5CDD505-2E9C-101B-9397-08002B2CF9AE}" pid="5" name="AuthenticationSubject">
    <vt:lpwstr/>
  </property>
  <property fmtid="{D5CDD505-2E9C-101B-9397-08002B2CF9AE}" pid="6" name="ProductSeries">
    <vt:lpwstr/>
  </property>
  <property fmtid="{D5CDD505-2E9C-101B-9397-08002B2CF9AE}" pid="7" name="FileDownloads">
    <vt:r8>31</vt:r8>
  </property>
  <property fmtid="{D5CDD505-2E9C-101B-9397-08002B2CF9AE}" pid="8" name="AuthenticationType">
    <vt:lpwstr/>
  </property>
  <property fmtid="{D5CDD505-2E9C-101B-9397-08002B2CF9AE}" pid="9" name="Delay">
    <vt:lpwstr>0</vt:lpwstr>
  </property>
  <property fmtid="{D5CDD505-2E9C-101B-9397-08002B2CF9AE}" pid="10" name="EncryptReason">
    <vt:lpwstr/>
  </property>
  <property fmtid="{D5CDD505-2E9C-101B-9397-08002B2CF9AE}" pid="11" name="VisitorsInternalName">
    <vt:lpwstr/>
  </property>
  <property fmtid="{D5CDD505-2E9C-101B-9397-08002B2CF9AE}" pid="12" name="AuthenticationName">
    <vt:lpwstr/>
  </property>
  <property fmtid="{D5CDD505-2E9C-101B-9397-08002B2CF9AE}" pid="13" name="CpgProducts">
    <vt:lpwstr>null;</vt:lpwstr>
  </property>
  <property fmtid="{D5CDD505-2E9C-101B-9397-08002B2CF9AE}" pid="14" name="NetProducts">
    <vt:lpwstr/>
  </property>
  <property fmtid="{D5CDD505-2E9C-101B-9397-08002B2CF9AE}" pid="15" name="DocAuthor">
    <vt:lpwstr>wuhao (CCSPL) w32212</vt:lpwstr>
  </property>
  <property fmtid="{D5CDD505-2E9C-101B-9397-08002B2CF9AE}" pid="16" name="EndDate">
    <vt:filetime>2025-12-17T08:00:00Z</vt:filetime>
  </property>
  <property fmtid="{D5CDD505-2E9C-101B-9397-08002B2CF9AE}" pid="17" name="EncryptTypes">
    <vt:lpwstr>内部公开</vt:lpwstr>
  </property>
  <property fmtid="{D5CDD505-2E9C-101B-9397-08002B2CF9AE}" pid="18" name="ViewNumbers">
    <vt:lpwstr>29</vt:lpwstr>
  </property>
  <property fmtid="{D5CDD505-2E9C-101B-9397-08002B2CF9AE}" pid="19" name="ICV">
    <vt:lpwstr>5B78B45EECAE41D4876A3A25240AC007_13</vt:lpwstr>
  </property>
  <property fmtid="{D5CDD505-2E9C-101B-9397-08002B2CF9AE}" pid="20" name="KSOProductBuildVer">
    <vt:lpwstr>2052-12.1.21861.21861</vt:lpwstr>
  </property>
</Properties>
</file>